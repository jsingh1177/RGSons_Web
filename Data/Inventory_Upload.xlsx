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Code\Web\RGSons\Data\"/>
    </mc:Choice>
  </mc:AlternateContent>
  <xr:revisionPtr revIDLastSave="0" documentId="13_ncr:1_{BF926002-51A2-4233-AD23-01F3689C26DE}" xr6:coauthVersionLast="47" xr6:coauthVersionMax="47" xr10:uidLastSave="{00000000-0000-0000-0000-000000000000}"/>
  <bookViews>
    <workbookView xWindow="-110" yWindow="-110" windowWidth="19420" windowHeight="10300" xr2:uid="{E79E818E-0DC3-424A-ACB9-0D1C3024D63E}"/>
  </bookViews>
  <sheets>
    <sheet name="Sheet1" sheetId="1" r:id="rId1"/>
    <sheet name="Sheet2" sheetId="2" r:id="rId2"/>
    <sheet name="Sheet3" sheetId="3" r:id="rId3"/>
    <sheet name="Original" sheetId="4" r:id="rId4"/>
  </sheets>
  <definedNames>
    <definedName name="_xlnm._FilterDatabase" localSheetId="3" hidden="1">Original!$A$1:$H$1076</definedName>
    <definedName name="_xlnm._FilterDatabase" localSheetId="0" hidden="1">Sheet1!$C$1:$E$9</definedName>
    <definedName name="_xlnm._FilterDatabase" localSheetId="1" hidden="1">Sheet2!$A$1:$E$1076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76" i="4" l="1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<sst xmlns="http://schemas.openxmlformats.org/spreadsheetml/2006/main" count="8393" uniqueCount="2098">
  <si>
    <t>Item Name</t>
  </si>
  <si>
    <t>Size Name</t>
  </si>
  <si>
    <t>Purchase Price</t>
  </si>
  <si>
    <t>MRP</t>
  </si>
  <si>
    <t>750-650 ML</t>
  </si>
  <si>
    <t>375-500 ML</t>
  </si>
  <si>
    <t>Absolute Vodka 200(600)</t>
  </si>
  <si>
    <t>Absolute Vodka 200(640) 24pcs</t>
  </si>
  <si>
    <t>Absolute Vodka 50 (160)</t>
  </si>
  <si>
    <t>Absolute Vodka (1780)</t>
  </si>
  <si>
    <t>Adira Flavour (2380)</t>
  </si>
  <si>
    <t>Alentador Crema Fresa Con 700(3470)</t>
  </si>
  <si>
    <t>Alentador Rose Tequila 700 (3470)</t>
  </si>
  <si>
    <t>Amazing Deluxe Craft Whisky (360)</t>
  </si>
  <si>
    <t>Amazing Deluxe Craft Whisky (700)</t>
  </si>
  <si>
    <t>Amg Smooth/Carvon 700 (2740)</t>
  </si>
  <si>
    <t>Antiquity Blue Whisky (490)</t>
  </si>
  <si>
    <t>Aperol 700(2280)</t>
  </si>
  <si>
    <t>Bacardi Limon Super Classic (210)</t>
  </si>
  <si>
    <t>Bacardi Limon Super Classic (420)</t>
  </si>
  <si>
    <t>Bacardi Limon Super Classic (830)</t>
  </si>
  <si>
    <t>Ballantine Finest Scotch Whisky 200(490)</t>
  </si>
  <si>
    <t>Ballantine Finest Scotch Whisky 50(210)</t>
  </si>
  <si>
    <t>Ballantine Finest Scotch Whisky (1760)</t>
  </si>
  <si>
    <t>Ballantines 17 YO Scotch (6640)</t>
  </si>
  <si>
    <t>Balvenie 12Yo Single Malt 1 Pcs 700(6920)</t>
  </si>
  <si>
    <t>Baroni Chardonary/philippe De Cadet (1)</t>
  </si>
  <si>
    <t>Barrheads One Single Malt 700(4450)</t>
  </si>
  <si>
    <t>Bellina Gin Cream 700 (3350)</t>
  </si>
  <si>
    <t>Beluga Vodka 700(7350)</t>
  </si>
  <si>
    <t>Belvenie Single Malt 12y 700</t>
  </si>
  <si>
    <t>Big Ben London (140)</t>
  </si>
  <si>
    <t>Big Ben London (290)</t>
  </si>
  <si>
    <t>Black Dog Centenary Scotch (370)</t>
  </si>
  <si>
    <t>Black Dog Centenary Scotch (760)</t>
  </si>
  <si>
    <t>Black Dog Centenary Scotch (1510)</t>
  </si>
  <si>
    <t>Black Dog Millard 14y Blended (3880)</t>
  </si>
  <si>
    <t>Black Tower Pinot Noir Rose (3010)</t>
  </si>
  <si>
    <t>Blue Moon Dry Gin (1140)</t>
  </si>
  <si>
    <t>Bodega Norton Malbec (1860)</t>
  </si>
  <si>
    <t>Boho Deluxe Whisky (480)</t>
  </si>
  <si>
    <t>Boho Deluxe Whisky 90(120)</t>
  </si>
  <si>
    <t>Bowmore 12 Y.O 700 (3920)</t>
  </si>
  <si>
    <t>BP Rare Premium Whisky 090</t>
  </si>
  <si>
    <t>BP Rare Premium Whisky (480)</t>
  </si>
  <si>
    <t>BP Rare Premium Whisky (930)</t>
  </si>
  <si>
    <t>BP Reserve Collection 90(130)</t>
  </si>
  <si>
    <t>Brancott Estate Sauvignon Blcnc (1550)</t>
  </si>
  <si>
    <t>Brothers And Co. Finest Blended Whisky 90 Ne</t>
  </si>
  <si>
    <t>Budwiser Magnum American Whisky (1900)</t>
  </si>
  <si>
    <t>Bush Malt 12yo (4970)</t>
  </si>
  <si>
    <t>Bushmills 16 Years 700 (19520)</t>
  </si>
  <si>
    <t>Bushmills 21 Years 700 (29010)</t>
  </si>
  <si>
    <t>Bushmills Original Whiskey 700(2170)</t>
  </si>
  <si>
    <t>Calenter Reserve Rum (140)</t>
  </si>
  <si>
    <t>Calenter Reserve Rum (290)</t>
  </si>
  <si>
    <t>Calenter Reserve Rum (460)</t>
  </si>
  <si>
    <t>Camas Malbac Rouge Bebout (1870)</t>
  </si>
  <si>
    <t>Camas Marlot (1820)</t>
  </si>
  <si>
    <t>Camas Pinot Noir Rouge Bebout (2220)</t>
  </si>
  <si>
    <t>Campari (2560)</t>
  </si>
  <si>
    <t>Campari Negroni (1920)</t>
  </si>
  <si>
    <t>Captain Morgan Rum (160)</t>
  </si>
  <si>
    <t>Captain Morgan Rum (320)</t>
  </si>
  <si>
    <t>Captain Morgan Rum (610)</t>
  </si>
  <si>
    <t>Casco Silver (2270)</t>
  </si>
  <si>
    <t>Chandon Brut Cuvee (2530)</t>
  </si>
  <si>
    <t>Chapoutier Belleruche Cotes/Blanc (3000)</t>
  </si>
  <si>
    <t>Chapoutier La Bernardine (9590)</t>
  </si>
  <si>
    <t>Chemin Das Papes Chateauneuf (0)</t>
  </si>
  <si>
    <t>Chivas Regal 12 Year (2900)</t>
  </si>
  <si>
    <t>Chivas Regal 15 Year (4)</t>
  </si>
  <si>
    <t>Chivas Regal 18 Year (5510)</t>
  </si>
  <si>
    <t>Chivas Regal 25 Year 700</t>
  </si>
  <si>
    <t>Cinzano Prosecco Wine (1950)</t>
  </si>
  <si>
    <t>Ciroc Vodka (3420)</t>
  </si>
  <si>
    <t>Crystel Head Vodka (7430)</t>
  </si>
  <si>
    <t>Dalwhinnie Singal 15 Year (5380)</t>
  </si>
  <si>
    <t>Dewar S 15Y (3190)</t>
  </si>
  <si>
    <t>Dewars White Label Bl Scotch (410)</t>
  </si>
  <si>
    <t>Dewars White Label Bl Scotch (830)</t>
  </si>
  <si>
    <t>Dewars White Label Bl Scotch (1660)</t>
  </si>
  <si>
    <t>Diplomatico Plans Rum 700(4700)</t>
  </si>
  <si>
    <t>Don Juilo 1942 Tequila (19020)</t>
  </si>
  <si>
    <t>Don Juilo Blanco 700 (6870)</t>
  </si>
  <si>
    <t>Don Juilo Reposado 700 (7370)</t>
  </si>
  <si>
    <t>Downing Street Prem. Whisky (240)</t>
  </si>
  <si>
    <t>Dr. Zenzen Dry White Sparkling Wine (1300)</t>
  </si>
  <si>
    <t>Dr Zenzen Premium White Riesling l(1660)</t>
  </si>
  <si>
    <t>Dudies/shiraz/cabernet/sauvigon(1410)</t>
  </si>
  <si>
    <t>Duoble Blue Classic (150</t>
  </si>
  <si>
    <t>Dyavol Single Estate Vodka (3620)</t>
  </si>
  <si>
    <t>El Charro Tquila (2010)</t>
  </si>
  <si>
    <t>Fairviews Goats Do Roam Red/White Wine (1690)</t>
  </si>
  <si>
    <t>Fratelli Cabernet Franc Shiraz ( 830)</t>
  </si>
  <si>
    <t>Fratelli Cabernet Franc Shiraz/ Sauvignonm (740)</t>
  </si>
  <si>
    <t>Fratelli Classic Merlot ( 730)</t>
  </si>
  <si>
    <t>Fratelli Classic Merlot/Chenin Blanc ( 620)</t>
  </si>
  <si>
    <t>Fratelli Master M/s (1290)</t>
  </si>
  <si>
    <t>Fratelli MS Sangiovese Rose (1100)</t>
  </si>
  <si>
    <t>Fratelli Shiraz Rose /m (740)</t>
  </si>
  <si>
    <t>Gaicondi Merlot / Chardonnay (2080)</t>
  </si>
  <si>
    <t>Gentleman Jack (3)</t>
  </si>
  <si>
    <t>Glenfiddich Grande Cournne 26year</t>
  </si>
  <si>
    <t>Glenkinchie 12 Y.O (5370)</t>
  </si>
  <si>
    <t>Glenlivet 12 Year Malt Scotch 50 (430)</t>
  </si>
  <si>
    <t>Glenlivet 12 Year Malt Scotch (3270)</t>
  </si>
  <si>
    <t>Glenlivet 15 Year Malt Scotch 700(4990)</t>
  </si>
  <si>
    <t>Glenlivet Caribbean Reserve Single Malt(3960)</t>
  </si>
  <si>
    <t>Glenlivet Single Malt12y 700(3270)</t>
  </si>
  <si>
    <t>Glenmorangie 10 YO (4540)</t>
  </si>
  <si>
    <t>Glenmorangie Lasanta (5600)</t>
  </si>
  <si>
    <t>Golden Oak Barrel Whisky90 (130)</t>
  </si>
  <si>
    <t>GR8 Times Premium Green Apple/ Whisky (120)</t>
  </si>
  <si>
    <t>Grants Family Reserve 50(175)</t>
  </si>
  <si>
    <t>Grants Triple Wood (1880)</t>
  </si>
  <si>
    <t>Grey Groose Vodka (3230)</t>
  </si>
  <si>
    <t>Gunpowder Irish Gin 700(4920)</t>
  </si>
  <si>
    <t>Hendrick's Flora Adora Gin 700 (4410)</t>
  </si>
  <si>
    <t>Hendrick's Gin 700(3730)</t>
  </si>
  <si>
    <t>HENKELL TROCKEN FINEST SPARKLING WINE 200(600)</t>
  </si>
  <si>
    <t>Hennessy Vs Cognac 700 (5440)</t>
  </si>
  <si>
    <t>Hennessy VSOP 700 (8480)</t>
  </si>
  <si>
    <t>Hennessy Xo 700 (24630)</t>
  </si>
  <si>
    <t>Hermosa Rose/Chardonnay/Merlot//Blanc (960)</t>
  </si>
  <si>
    <t>Hibiki Japanese Harmony Wky 700(9890)</t>
  </si>
  <si>
    <t>Highland Park Single Malt 12y 700(5220)</t>
  </si>
  <si>
    <t>Highland Park Single Malt 15y 700(8470)</t>
  </si>
  <si>
    <t>Highland Queen Majesty Single Malt Scothch 700</t>
  </si>
  <si>
    <t>Hillford Premium Whisky (240)</t>
  </si>
  <si>
    <t>Hillford Premium Whisky (480)</t>
  </si>
  <si>
    <t>Hillford Premium Whisky (930)</t>
  </si>
  <si>
    <t>I Blue Premier Grain Whisky (160)</t>
  </si>
  <si>
    <t>Indri Single Malt Indian Whisky Agneya(5)</t>
  </si>
  <si>
    <t>Indri Singlemalt Whisky (4190)</t>
  </si>
  <si>
    <t>Indri Singlemalt Whisky 90(360)</t>
  </si>
  <si>
    <t>Irishman Singhal Malt 700 (9200)</t>
  </si>
  <si>
    <t>Irishman The Harvest Irish Whisky 700 (7830)</t>
  </si>
  <si>
    <t>Jack Daniel Honey/Fire 50 (280)</t>
  </si>
  <si>
    <t>Jack Daniel Honey/Fire (2730)</t>
  </si>
  <si>
    <t>Jack Daniel Old7 (2)</t>
  </si>
  <si>
    <t>Jack Daniel Old7/Honey/Fire 50(280)</t>
  </si>
  <si>
    <t>Jack Daniels Single Barrel Select (6310)</t>
  </si>
  <si>
    <t>Jack Daniel Tannessee Apple (2700)</t>
  </si>
  <si>
    <t>Jacob's Creek Chardonnay Wine (1100)</t>
  </si>
  <si>
    <t>Jacob's Creek Shiraz Carbenet (1640)</t>
  </si>
  <si>
    <t>Jagermeister (3020)</t>
  </si>
  <si>
    <t>Jaisalmare Gin Gold (4000)</t>
  </si>
  <si>
    <t>Jaisalmer Indian Craft (4000) 6Pcs</t>
  </si>
  <si>
    <t>Jameson Black Barrel Wky.(3020)</t>
  </si>
  <si>
    <t>Jameson Irish Whisky 200(610)</t>
  </si>
  <si>
    <t>Jameson Irish Whisky (2260)</t>
  </si>
  <si>
    <t>Jamun Himalayan Gin (870)</t>
  </si>
  <si>
    <t>Jamun Himalayan Gin (3560)</t>
  </si>
  <si>
    <t>J &amp; B Rare (1860)</t>
  </si>
  <si>
    <t>Jim Beam Bourbon Why (1)</t>
  </si>
  <si>
    <t>Jim Beam White Why 1000 (2400)</t>
  </si>
  <si>
    <t>Jodhpur Gin 700 (4430)</t>
  </si>
  <si>
    <t>Johnston Shiraz Wine (2040)</t>
  </si>
  <si>
    <t>Jose Cuervo Reposado Taquila (3930)</t>
  </si>
  <si>
    <t>Jose Cuervo Silver (3820)</t>
  </si>
  <si>
    <t>Jura 10y 700 (5040)</t>
  </si>
  <si>
    <t>Jura 18y Old 700 (11890)</t>
  </si>
  <si>
    <t>JW 18y Old (8130)</t>
  </si>
  <si>
    <t>JW Black 12Y 200(1060)</t>
  </si>
  <si>
    <t>JW Black 12Y (3090)</t>
  </si>
  <si>
    <t>JW Black Label 1000(4040)</t>
  </si>
  <si>
    <t>JW Black Label 50(290)</t>
  </si>
  <si>
    <t>JW Black Label (3070)</t>
  </si>
  <si>
    <t>JW Blue Label (15370)</t>
  </si>
  <si>
    <t>JW Double Black S/w (3740)</t>
  </si>
  <si>
    <t>JW Red Label 200(660)</t>
  </si>
  <si>
    <t>JW Red Label (1100)</t>
  </si>
  <si>
    <t>JW Red Label 50 (220)</t>
  </si>
  <si>
    <t>JW Red Label (0)</t>
  </si>
  <si>
    <t>Ketel One (2190)</t>
  </si>
  <si>
    <t>Knut Hansen Dry Gin (3800)</t>
  </si>
  <si>
    <t>La Rocca Vino Roso/Blanco (1060)</t>
  </si>
  <si>
    <t>Lindmans Pre. Selection Chardonnay (1480)</t>
  </si>
  <si>
    <t>Lion Daddy Rum-</t>
  </si>
  <si>
    <t>London High Rich Vodka (310)</t>
  </si>
  <si>
    <t>London High Vodka (140)</t>
  </si>
  <si>
    <t>Longitude 77 (4)</t>
  </si>
  <si>
    <t>Lucifres Gold 700 (1770)</t>
  </si>
  <si>
    <t>Martell VS Cognac 700 (3360)</t>
  </si>
  <si>
    <t>McDowell's No.-1 Superior Whisky (150)</t>
  </si>
  <si>
    <t>McDowell's No.-1 Superior Whisky (310)</t>
  </si>
  <si>
    <t>McDowell's No.-1 Superior Whisky (610)</t>
  </si>
  <si>
    <t>McDowell's Premium Vodka (190)</t>
  </si>
  <si>
    <t>McDowell's Premium Vodka (730)</t>
  </si>
  <si>
    <t>McDowells Pre Flavour Vodka (200)</t>
  </si>
  <si>
    <t>Meukow Liqueur Vanilla (5250)</t>
  </si>
  <si>
    <t>M M Verve Vodka (190)</t>
  </si>
  <si>
    <t>M M Verve Vodka (370)</t>
  </si>
  <si>
    <t>M M Verve Vodka (720)</t>
  </si>
  <si>
    <t>M M Verve Vodka Apple/Orance (200)</t>
  </si>
  <si>
    <t>M M Verve Vodka Apple/Orance (390)</t>
  </si>
  <si>
    <t>M M Verve Vodka Apple/Orance (760)</t>
  </si>
  <si>
    <t>M M Vodka (150)</t>
  </si>
  <si>
    <t>M M Vodka (310)</t>
  </si>
  <si>
    <t>M M Vodka (600)</t>
  </si>
  <si>
    <t>M M Vodka Apple/Orance (170)</t>
  </si>
  <si>
    <t>M M Vodka Apple/Orance (340)</t>
  </si>
  <si>
    <t>M M Vodka Apple/Orance (670)</t>
  </si>
  <si>
    <t>Moet &amp; Chandan Rose (8890)</t>
  </si>
  <si>
    <t>Moet &amp; Chandon Imperial Brut (9780)</t>
  </si>
  <si>
    <t>Monkey 47 Dry Gin (0)</t>
  </si>
  <si>
    <t>Monkey Shoulder 700(3400)</t>
  </si>
  <si>
    <t>Mountain Oak Citrus Rum Lemon (210)</t>
  </si>
  <si>
    <t>Mountain Oak Salect (610)</t>
  </si>
  <si>
    <t>Mythic Mountain Malbeck/chardonnay (3940)</t>
  </si>
  <si>
    <t>Noi Sparking Wine (940)</t>
  </si>
  <si>
    <t>Noi Spritzer Classico 250 (125)</t>
  </si>
  <si>
    <t>Oaken Glow 90(110)</t>
  </si>
  <si>
    <t>Oakshmith Gold (240)</t>
  </si>
  <si>
    <t>Oakshmith Gold (470)</t>
  </si>
  <si>
    <t>Oakshmith Gold (930)</t>
  </si>
  <si>
    <t>Oakshmith International (360)</t>
  </si>
  <si>
    <t>Oakshmith International (700)</t>
  </si>
  <si>
    <t>Oakwood Creek Whisky (950)</t>
  </si>
  <si>
    <t>Old Monk Amber Mellow &amp; Matured Rum (240)</t>
  </si>
  <si>
    <t>Old Monk Cofee Extra (950)</t>
  </si>
  <si>
    <t>Old Monk Cofee Extra 90 (120)</t>
  </si>
  <si>
    <t>Old Monk Spiced Rum (490)</t>
  </si>
  <si>
    <t>Old Monk Spiced Rum (950)</t>
  </si>
  <si>
    <t>Old Monk White Rum (360)</t>
  </si>
  <si>
    <t>One More Apple/Orange (170)</t>
  </si>
  <si>
    <t>One More Apple/Orange (340)</t>
  </si>
  <si>
    <t>One More Apple/Orange (670)</t>
  </si>
  <si>
    <t>One More Craft Vodka (150)</t>
  </si>
  <si>
    <t>One More Craft Vodka (310)</t>
  </si>
  <si>
    <t>One More Craft Vodka (600)</t>
  </si>
  <si>
    <t>Oprahi Cabernet Merlot (1360)</t>
  </si>
  <si>
    <t>Oprahi Cebernet Merlot Wine (1370)</t>
  </si>
  <si>
    <t>Oprahi Pinot Chardonnay Wine (1100)</t>
  </si>
  <si>
    <t>Outback Jack Cavernet Marlot (1290)</t>
  </si>
  <si>
    <t>Passport Blended Whisky (1360)</t>
  </si>
  <si>
    <t>Patron Reposado Tequila 200 (1)12pcs</t>
  </si>
  <si>
    <t>Pelican Soul Pinotage (1580)</t>
  </si>
  <si>
    <t>Punter /Damso Soju 360 (600)</t>
  </si>
  <si>
    <t>RAMPUR ASAVA (10000)</t>
  </si>
  <si>
    <t>Rasa Syrah Red Wine (1370)</t>
  </si>
  <si>
    <t>R Challenge (American)(240)</t>
  </si>
  <si>
    <t>R Challenge (American) (940)</t>
  </si>
  <si>
    <t>R Challenge (American) 90(120)</t>
  </si>
  <si>
    <t>R Challenge Classic Premium Whisky (680)</t>
  </si>
  <si>
    <t>R Challenge Classic Premium Whisky 90</t>
  </si>
  <si>
    <t>R Challenge Play Whisky (720)</t>
  </si>
  <si>
    <t>Remy Martin Cognac Vsop 700</t>
  </si>
  <si>
    <t>R Green Classic Blended Why 90</t>
  </si>
  <si>
    <t>Rips Royal Sup Grain Whisky (290)</t>
  </si>
  <si>
    <t>Rockclimber Crafted Reserve/Elite Wine (150)</t>
  </si>
  <si>
    <t>Rockford Classic Whiskhy (470)</t>
  </si>
  <si>
    <t>Rockford Classic Whiskhy (920)</t>
  </si>
  <si>
    <t>Rockford Classic Whiskhy 90</t>
  </si>
  <si>
    <t>Rockford Reserve Whisky 90</t>
  </si>
  <si>
    <t>Roku Gin 700 (4070)</t>
  </si>
  <si>
    <t>Ron Piet Xo Rum (1Pcs) 700 (4380)</t>
  </si>
  <si>
    <t>Roulette Unpeated Premium Whisky (260)</t>
  </si>
  <si>
    <t>Royal Brigade Whisky (600)</t>
  </si>
  <si>
    <t>Royal Sainta Emilion (3790)</t>
  </si>
  <si>
    <t>Royal Salute Scotch Whisky 700 (12240)</t>
  </si>
  <si>
    <t>Royal Triple Whisky (350)</t>
  </si>
  <si>
    <t>R Stag Barrel Whisky 90</t>
  </si>
  <si>
    <t>R Stag Dark Whisky (200)</t>
  </si>
  <si>
    <t>R Stag Dark Whisky (390)</t>
  </si>
  <si>
    <t>R Stag Dark Whisky (770)</t>
  </si>
  <si>
    <t>R Stag Dark Whisky 90(100)</t>
  </si>
  <si>
    <t>R Stag Superior Whisky 090</t>
  </si>
  <si>
    <t>Rye Staramyslivecka 700 (1570)</t>
  </si>
  <si>
    <t>Rye Staramyslivecka Reserve 700 (2090)</t>
  </si>
  <si>
    <t>Saint Remy Vsop Brandy 700 (2970)</t>
  </si>
  <si>
    <t>Samara Red-(450)</t>
  </si>
  <si>
    <t>Sangre De Toro (1570)</t>
  </si>
  <si>
    <t>Scots Choice Blended Whisky (1840)</t>
  </si>
  <si>
    <t>Scottish Leader Scotch Whiskey (1740)</t>
  </si>
  <si>
    <t>Shanky's Whip Black Irish (1Pcs) 700 (3520)</t>
  </si>
  <si>
    <t>Sidus Premium Red Wine (480)</t>
  </si>
  <si>
    <t>Signature Premier Grain Whisky 90</t>
  </si>
  <si>
    <t>Skull X Platinum Filterd Vodka 700 (4070)</t>
  </si>
  <si>
    <t>Smirnoff Flavour Triple Distilled Vodka (240)</t>
  </si>
  <si>
    <t>Smirnoff Flavour Triple Distilled Vodka (920)</t>
  </si>
  <si>
    <t>Smirnoff Triple Distilled Vodka (200)</t>
  </si>
  <si>
    <t>Smirnoff Triple Distilled Vodka (400)</t>
  </si>
  <si>
    <t>Smirnoff Triple Distilled Vodka (780)</t>
  </si>
  <si>
    <t>Smoke Vodka Classic (1960)</t>
  </si>
  <si>
    <t>Soldepenas Tempranillo Gamacha (1)</t>
  </si>
  <si>
    <t>Soulmate Soperior Whisky (120)</t>
  </si>
  <si>
    <t>Stoli Gold Premium Vodka (3380)</t>
  </si>
  <si>
    <t>Sula Dindori Reserve Chardonary White (1310)</t>
  </si>
  <si>
    <t>Sula Tropical Rose (1510)</t>
  </si>
  <si>
    <t>Sula Zinfandel Red (720)</t>
  </si>
  <si>
    <t>Sula Zinfandel Rose (630)</t>
  </si>
  <si>
    <t>Suntory Whisky Toki 700 (3510)</t>
  </si>
  <si>
    <t>Taliskar Single Malt Whisky (6090)</t>
  </si>
  <si>
    <t>Talisker 10Y (4530)</t>
  </si>
  <si>
    <t>Tanquery Lon Dry Gin 1000(3770)</t>
  </si>
  <si>
    <t>Tanquery Lon Dry Gin (1880)</t>
  </si>
  <si>
    <t>Tarai India Dry Gin (2000)</t>
  </si>
  <si>
    <t>Teachers High Land Cream 060</t>
  </si>
  <si>
    <t>Teachers High Land Cream (390)</t>
  </si>
  <si>
    <t>Teachers High Land Cream (790)</t>
  </si>
  <si>
    <t>Teachers High Land Cream (1560)</t>
  </si>
  <si>
    <t>Teachers Highland Cream Scotch 1000(2350)</t>
  </si>
  <si>
    <t>Teachers Reserve Blended Scotch Whisky (510)</t>
  </si>
  <si>
    <t>Teachers Reserve Blended Scotch Whisky (2020)</t>
  </si>
  <si>
    <t>Tequila Camino Real Blanco (2710)</t>
  </si>
  <si>
    <t>Terroir Daronton Chateauneuf Roug (7770)</t>
  </si>
  <si>
    <t>The Ardmore 12 Years 700 (3780)</t>
  </si>
  <si>
    <t>The Ardmore Singel Malt Scotch Whisky 700 (3170)</t>
  </si>
  <si>
    <t>The Drover Merlot/ Pinot Grigio(2000)</t>
  </si>
  <si>
    <t>The Glen Grant Arborals 700(3240)</t>
  </si>
  <si>
    <t>The Glenwalk Blend Scotch Whsky 370(950)</t>
  </si>
  <si>
    <t>The Glenwalk Blend Scotch Whsky 700(1)</t>
  </si>
  <si>
    <t>The Singleton 12Y 700 (4580)</t>
  </si>
  <si>
    <t>The Singletone 15 Y 700 (5430)</t>
  </si>
  <si>
    <t>The Source Grenache Rose Wine (1210)</t>
  </si>
  <si>
    <t>Ti Amo Prosecco Brut (2)</t>
  </si>
  <si>
    <t>Tilt Bubbly Rose 250 (170)</t>
  </si>
  <si>
    <t>Tilt Red/White 250 (170)</t>
  </si>
  <si>
    <t>Titos Handmade Vodka 3040</t>
  </si>
  <si>
    <t>Ujva Chardonnay Wine (2300) New</t>
  </si>
  <si>
    <t>Ujva Pinotage Reserve Wine (2690)New</t>
  </si>
  <si>
    <t>Vat 69 Blended Scotch Whisky (360)</t>
  </si>
  <si>
    <t>Vodka Russian Standard (3030)</t>
  </si>
  <si>
    <t>Whistler Barrel Blended Malt Wky (240)</t>
  </si>
  <si>
    <t>Whistler Barrel Blended Malt Wky (480)</t>
  </si>
  <si>
    <t>Whistler Barrel Blended Malt Wky (930)</t>
  </si>
  <si>
    <t>Whistler Barrel Blended Malt Wky 90 (120)</t>
  </si>
  <si>
    <t>White &amp; Blue Whisky (350)</t>
  </si>
  <si>
    <t>White &amp; Blue Whisky (690)</t>
  </si>
  <si>
    <t>Writers Tears Copper Pot 700(8640)</t>
  </si>
  <si>
    <t>Xclamation Premier Gin 90</t>
  </si>
  <si>
    <t>Xclamation Premier Rum 90</t>
  </si>
  <si>
    <t>Xclamation Premier Vodka 90</t>
  </si>
  <si>
    <t>Xclamation Premier Whisky 90</t>
  </si>
  <si>
    <t>Yellow Tail Cabernet (2300)</t>
  </si>
  <si>
    <t>Yellow Tail Mascato/Shiraz (1920)</t>
  </si>
  <si>
    <t>Yellow Tail Mascato/Shiraz (2020)</t>
  </si>
  <si>
    <t>Zoya Watermelon Gin (2000)</t>
  </si>
  <si>
    <t>Bad Monkey Wild Strong Beer (130)</t>
  </si>
  <si>
    <t>B Breezer Blueberry/Mango 275 (150)</t>
  </si>
  <si>
    <t>B Breezer Flav. Beer 275 8% (160)</t>
  </si>
  <si>
    <t>Bira Blonde / Light (150)</t>
  </si>
  <si>
    <t>Black Pearl Storng Beer (130)</t>
  </si>
  <si>
    <t>Bro Code EL Classic (170)</t>
  </si>
  <si>
    <t>Campai Wit/strong (150)</t>
  </si>
  <si>
    <t>CB Elephant (100)</t>
  </si>
  <si>
    <t>CB Elephant (150)</t>
  </si>
  <si>
    <t>CB Elephant Strong Beer (210)</t>
  </si>
  <si>
    <t>CB Strong (160)</t>
  </si>
  <si>
    <t>Corona Beer (160)</t>
  </si>
  <si>
    <t>Corona Beer (240)</t>
  </si>
  <si>
    <t>Disco Panda Hoppy/Mango Magic (150)</t>
  </si>
  <si>
    <t>Disco Panda Hoppy Mania Sup. Strong (200)</t>
  </si>
  <si>
    <t>Disco Panda Paan Supari St (160)</t>
  </si>
  <si>
    <t>Golden Eagle Classic Strong Beer (120)</t>
  </si>
  <si>
    <t>Inacane 250 (210)</t>
  </si>
  <si>
    <t>IQ Spacially Wheat 300(120)</t>
  </si>
  <si>
    <t>K F S Extra Special Strong Beer (140)</t>
  </si>
  <si>
    <t>K F S Extra Special Strong Beer (190)</t>
  </si>
  <si>
    <t>K F Strong Malt Beer (170)</t>
  </si>
  <si>
    <t>Kolt Gold Strong Beer (120)</t>
  </si>
  <si>
    <t>Old Monk St Beer (140)</t>
  </si>
  <si>
    <t>Brand Name</t>
  </si>
  <si>
    <t>Average 
Purchase Rate</t>
  </si>
  <si>
    <t>Estimated
Mrp</t>
  </si>
  <si>
    <t>700 ml</t>
  </si>
  <si>
    <t>180ml</t>
  </si>
  <si>
    <t>750 ml</t>
  </si>
  <si>
    <t>375 ml</t>
  </si>
  <si>
    <t>90 ml</t>
  </si>
  <si>
    <t>180 ml</t>
  </si>
  <si>
    <t>330 ml</t>
  </si>
  <si>
    <t>180 ML</t>
  </si>
  <si>
    <t>330 ML</t>
  </si>
  <si>
    <t>90-60 ML</t>
  </si>
  <si>
    <t>06 Rose Vodka</t>
  </si>
  <si>
    <t>100 Pipers 12 Yo Blended Scotch</t>
  </si>
  <si>
    <t>100 Pipers Scotch</t>
  </si>
  <si>
    <t>100 Pipers Scotch 8 Year</t>
  </si>
  <si>
    <t>1943 Virasat Indian Whisky</t>
  </si>
  <si>
    <t>1965 Espresso Coffee Premium Dark Rum</t>
  </si>
  <si>
    <t>1965 Lemon Dash Rum</t>
  </si>
  <si>
    <t>2021 Lost Poet Rose Wine</t>
  </si>
  <si>
    <t>44° N GIN IMAGINED DISTILLED IN GRASSE</t>
  </si>
  <si>
    <t>8PM Black Why</t>
  </si>
  <si>
    <t>8PM Gold Whisky</t>
  </si>
  <si>
    <t>8PM Whisky</t>
  </si>
  <si>
    <t>9 Race Course Superior Grain Whisky</t>
  </si>
  <si>
    <t>Aberfeldy 12 YO Old Whisky</t>
  </si>
  <si>
    <t>Aberlour 12 YO Double Cask</t>
  </si>
  <si>
    <t>Absolute Grapefruit</t>
  </si>
  <si>
    <t>Absolut Flavour 200(660)</t>
  </si>
  <si>
    <t>Absolut Flavour(Mdrin Cit. Resp.Lime) (1830)</t>
  </si>
  <si>
    <t>Adira Macabeo White (1870)</t>
  </si>
  <si>
    <t>Adira Merlot (1)</t>
  </si>
  <si>
    <t>Adira Rose Wine</t>
  </si>
  <si>
    <t>After Dark Blue Rare Whisky (150)</t>
  </si>
  <si>
    <t>After Dark Blue Rare Whisky (310)</t>
  </si>
  <si>
    <t>After Dark Blue Rare Whisky (610)</t>
  </si>
  <si>
    <t>Akashi Blanded Wky. (3570)</t>
  </si>
  <si>
    <t>Akashi Blanded Wky.Blue 700(4400</t>
  </si>
  <si>
    <t>Alcobrew Single Oak Whisky</t>
  </si>
  <si>
    <t>All Seasons Sir Taj Whiskey</t>
  </si>
  <si>
    <t>All Seasons Whisky</t>
  </si>
  <si>
    <t>Altamura Vodka 700</t>
  </si>
  <si>
    <t>Amalfi Limoncello Whisky (1410)</t>
  </si>
  <si>
    <t>Amalfi Limoncello Whisky 700 (2600)</t>
  </si>
  <si>
    <t>Amaro Montenegro (3340)</t>
  </si>
  <si>
    <t>Amazing Apple Vodka</t>
  </si>
  <si>
    <t>Amazing Deluxe Craft Whisky</t>
  </si>
  <si>
    <t>Amazing Vodka</t>
  </si>
  <si>
    <t>Amrula Cream with Marula Sprit (3910)</t>
  </si>
  <si>
    <t>Amrut Maqintosh Whisky (280)</t>
  </si>
  <si>
    <t>Amrut Maqintosh Whisky (560)</t>
  </si>
  <si>
    <t>Amrut Maqintosh Whisky (1100)</t>
  </si>
  <si>
    <t>Amrut Prestige Green Whsky</t>
  </si>
  <si>
    <t>Antiquity Blue Whisky</t>
  </si>
  <si>
    <t>Antiquity Blue Whisky 90</t>
  </si>
  <si>
    <t>Antonav Vodka 700 (1770)</t>
  </si>
  <si>
    <t>Appleton Estate Jamaica Rum 12 Y (3550)</t>
  </si>
  <si>
    <t>Aqva Di Gin Flora/citrus 700 (4540)</t>
  </si>
  <si>
    <t>Arthaus Collective Blend Malt</t>
  </si>
  <si>
    <t>Artic Cranberry (210)</t>
  </si>
  <si>
    <t>Artic Cranberry (410)</t>
  </si>
  <si>
    <t>Artic Cranberry (800)</t>
  </si>
  <si>
    <t>Artic Premium Vodka</t>
  </si>
  <si>
    <t>Artic Premium Vodka Green Apple</t>
  </si>
  <si>
    <t>Artic ripe Cranberry (200)</t>
  </si>
  <si>
    <t>Artic ripe Cranberry (400)</t>
  </si>
  <si>
    <t>Artic Ripe Cranberry (790)</t>
  </si>
  <si>
    <t>B-7 Special Blended</t>
  </si>
  <si>
    <t>Bacardi Black Classic Rum</t>
  </si>
  <si>
    <t>Bacardi CB White</t>
  </si>
  <si>
    <t>Bagpiper Superior Whisky</t>
  </si>
  <si>
    <t>Baileys the Original Irish (2630)</t>
  </si>
  <si>
    <t>Ballantine Finest Whisky (920)</t>
  </si>
  <si>
    <t>Baron Philippe De Roth. Cadet DOC Pinot Noir</t>
  </si>
  <si>
    <t>Batch 9 Rare Cask Reserve Whisky</t>
  </si>
  <si>
    <t>Beefeather Londaon Dry Gin (1660)</t>
  </si>
  <si>
    <t>Bela Chardonnay/sauvignon (1130)</t>
  </si>
  <si>
    <t>Belenkaya Gold Vodka 700 (1720)</t>
  </si>
  <si>
    <t>Beluga Transatlantic (5990)</t>
  </si>
  <si>
    <t>Belvedere Vodka (3920)</t>
  </si>
  <si>
    <t>Bhrum Lemon White Rum (200)</t>
  </si>
  <si>
    <t>Bhrum Lemon White Rum (400)</t>
  </si>
  <si>
    <t>Bhrum Lemon White Rum (780)</t>
  </si>
  <si>
    <t>Black Dog Triple Gold (550)</t>
  </si>
  <si>
    <t>Black Dog Triple Gold (1130)</t>
  </si>
  <si>
    <t>Black Dog Triple Gold (2200)</t>
  </si>
  <si>
    <t>Black &amp; White C E B Scotch Why (410)</t>
  </si>
  <si>
    <t>Black &amp; White C E B Scotch Why (840)</t>
  </si>
  <si>
    <t>Black &amp; White C E B Scotch Why (1670)</t>
  </si>
  <si>
    <t>Blue Moon Dry Gin (290)</t>
  </si>
  <si>
    <t>Bodega Norton Merlot (1250)</t>
  </si>
  <si>
    <t>Boho Deluxe Whisky (240)</t>
  </si>
  <si>
    <t>Boho Deluxe Whisky (940)</t>
  </si>
  <si>
    <t>Boisson Res. Pre. Blended Whisky (240)</t>
  </si>
  <si>
    <t>Boisson Res. Pre. Blended Whisky (480)</t>
  </si>
  <si>
    <t>Bombay Sapphire Gin (2300)</t>
  </si>
  <si>
    <t>Bonacchi Brunello De Montepulciano</t>
  </si>
  <si>
    <t>Bora Bora Vodka (190)</t>
  </si>
  <si>
    <t>Bora Bora Vodka (380)</t>
  </si>
  <si>
    <t>Bora Bora Vodka (730)</t>
  </si>
  <si>
    <t>Bora Bora Vodka Cranberry (200)</t>
  </si>
  <si>
    <t>Bora Bora Vodka Cranberry (390)</t>
  </si>
  <si>
    <t>Bora Bora Vodka Cranberry (770)</t>
  </si>
  <si>
    <t>BP Four Elements (250)</t>
  </si>
  <si>
    <t>BP Four Elements (510)</t>
  </si>
  <si>
    <t>BP Four Elements (1000)</t>
  </si>
  <si>
    <t>BP Four Elements 90 (130)</t>
  </si>
  <si>
    <t>BP Rare Premium Whisky</t>
  </si>
  <si>
    <t>BP Reserve Collection</t>
  </si>
  <si>
    <t>Brothers And Co. Finest Blended Whisky</t>
  </si>
  <si>
    <t>Buen Tequila (2410)</t>
  </si>
  <si>
    <t>Bulldog London Gin (2430)</t>
  </si>
  <si>
    <t>Burnetts London Dry Gin</t>
  </si>
  <si>
    <t>Bush Ballad Merlot Wine (2260)</t>
  </si>
  <si>
    <t>Bush Ballad Shiraz/Chardonnay (2320)</t>
  </si>
  <si>
    <t>Bush Ballad Shiraz Wine (1)</t>
  </si>
  <si>
    <t>Bx Hippy Ultra Whisky</t>
  </si>
  <si>
    <t>Camas Chardonnay Wine (1830)</t>
  </si>
  <si>
    <t>Camas Malbac (1870)</t>
  </si>
  <si>
    <t>Camas Syrah Rose (1870)</t>
  </si>
  <si>
    <t>Cambridge Dry Gin 700 (4020)</t>
  </si>
  <si>
    <t>Camikara Rum Cask 3y Aged (560)</t>
  </si>
  <si>
    <t>Camikara Rum Cask 3y Aged (2260)</t>
  </si>
  <si>
    <t>Campari Negroni</t>
  </si>
  <si>
    <t>Campo Viejo Rioja Tempranillo (2160)</t>
  </si>
  <si>
    <t>Canvas Cranberry/Apple Vodka (200)</t>
  </si>
  <si>
    <t>Canvas Cranberry/Apple Vodka (390)</t>
  </si>
  <si>
    <t>Canvas Cranberry/Apple Vodka (760)</t>
  </si>
  <si>
    <t>Canvas Limone Citrus Rum</t>
  </si>
  <si>
    <t>Canvas Pure Vodka (190)</t>
  </si>
  <si>
    <t>Canvas Pure Vodka (370)</t>
  </si>
  <si>
    <t>Canvas Pure Vodka (710)</t>
  </si>
  <si>
    <t>Caolila 12y Islay Single Malt (5190)</t>
  </si>
  <si>
    <t>Cashmir Vodka (2430)</t>
  </si>
  <si>
    <t>Cash Whisky</t>
  </si>
  <si>
    <t>Chapoutier Du Hapr Dapes</t>
  </si>
  <si>
    <t>Chapoutier La Bernardinae</t>
  </si>
  <si>
    <t>Chapoutier Marius Rough (1840)</t>
  </si>
  <si>
    <t>Chivas Regal 12 Year 200 (890)</t>
  </si>
  <si>
    <t>Cinzano Liquer</t>
  </si>
  <si>
    <t>Cinzano Rose Edition (2540)</t>
  </si>
  <si>
    <t>Cinzano Rose Edtion Sweet (1740)</t>
  </si>
  <si>
    <t>Cinzano Vermouth Rosso (1740)</t>
  </si>
  <si>
    <t>Cosecha Cabernet Sauvignon (1480)</t>
  </si>
  <si>
    <t>Crafter Stamp (240)</t>
  </si>
  <si>
    <t>Crafter Stamp (480)</t>
  </si>
  <si>
    <t>Crafter Stamp</t>
  </si>
  <si>
    <t>Devans Gain Single Malt</t>
  </si>
  <si>
    <t>Dewar 12Yo Burben Cas (3070)</t>
  </si>
  <si>
    <t>Dewar 18Yo (6040)</t>
  </si>
  <si>
    <t>Dewar S 12Y (2940)</t>
  </si>
  <si>
    <t>Dewars Blended Scotch Double Aged 21 Years</t>
  </si>
  <si>
    <t>Dewars Blended Scotch Whisky Double Aged 27 Y</t>
  </si>
  <si>
    <t>Dia Red Sparkler Wine (510)</t>
  </si>
  <si>
    <t>Doaab Single Malt (4300)</t>
  </si>
  <si>
    <t>Don Angel Tequila Blanco (2980)</t>
  </si>
  <si>
    <t>Downing Street Prem. Whisky (480)</t>
  </si>
  <si>
    <t>Dr.Zenzen Vino Noir Red Wine (1680)</t>
  </si>
  <si>
    <t>Duoble Blue Classic (290)</t>
  </si>
  <si>
    <t>Duoble Blue Classic (610)</t>
  </si>
  <si>
    <t>Eden Blended Malt Whisky</t>
  </si>
  <si>
    <t>Elit Vodka (4760)</t>
  </si>
  <si>
    <t>Enso Reserve Japanese Whisky (3820)</t>
  </si>
  <si>
    <t>Evan Williams Black Bourbon Whisky (3)</t>
  </si>
  <si>
    <t>Fox Sauvignon Blanc (3310)</t>
  </si>
  <si>
    <t>Fratelli Cabernet Franc Shiraz / Sauvig (420)</t>
  </si>
  <si>
    <t>Fratelli Cabernet Sauvugnon Red (830)</t>
  </si>
  <si>
    <t>Fratelli Chardonnary White (940)</t>
  </si>
  <si>
    <t>Fratelli Classic Chenin Blanc (550)</t>
  </si>
  <si>
    <t>Fratelli Classic Chenin White / Red (540)</t>
  </si>
  <si>
    <t>Fratelli Classic Merlot/Chenin Shiraz ( 630)</t>
  </si>
  <si>
    <t>Fratelli/Classic /Shiraj Red (320)</t>
  </si>
  <si>
    <t>Fratelli Grain Brut (1060)</t>
  </si>
  <si>
    <t>Fratelli Merlot/Sangiovese Red Wine (1090)</t>
  </si>
  <si>
    <t>Fratelli Merlot/Savgiovese Red (940)</t>
  </si>
  <si>
    <t>Fratelli Pinot Noir (1090)</t>
  </si>
  <si>
    <t>Fratelli Savvignon/Blanc (390)</t>
  </si>
  <si>
    <t>Fratelli Savvignon/Blanc (680)</t>
  </si>
  <si>
    <t>Fratelli Savvignon/Blanc White (780)</t>
  </si>
  <si>
    <t>Fratelli Sette Red (2020)</t>
  </si>
  <si>
    <t>Fratelli Ziva Red/white Wine (510)</t>
  </si>
  <si>
    <t>Fratelli Ziva Rose Wine (420)</t>
  </si>
  <si>
    <t>Freixenet Cordon Negro 2000</t>
  </si>
  <si>
    <t>Gin Mg Orange 700 (2400)</t>
  </si>
  <si>
    <t>Gin Mg Sp 700 (2230)</t>
  </si>
  <si>
    <t>Glen Fiddich 12 Year 700 (4550)</t>
  </si>
  <si>
    <t>Glen Fiddich 15 Year 700(5470)</t>
  </si>
  <si>
    <t>Glen Fiddich Single Malt 18 Year Old 700(10280)</t>
  </si>
  <si>
    <t>Glen Fiddich Single Malt 21Y 700(22470)</t>
  </si>
  <si>
    <t>Glen Grant 10 YO (3580)</t>
  </si>
  <si>
    <t>Glen Grant 12 YO (3950)</t>
  </si>
  <si>
    <t>Glen Grant Single Malt 18years</t>
  </si>
  <si>
    <t>Glenlivet 18Y Malt Scotch 700 6 Pcs (6710)</t>
  </si>
  <si>
    <t>Glenmorangie 12 YO</t>
  </si>
  <si>
    <t>Godawan Single Malt Rich/fruit 700</t>
  </si>
  <si>
    <t>Golden Circle Whisky</t>
  </si>
  <si>
    <t>Golden Circle Whisky (2000)</t>
  </si>
  <si>
    <t>Golden Oak Barrel Whisky (250)</t>
  </si>
  <si>
    <t>Golden Oak Barrel Whisky (510)</t>
  </si>
  <si>
    <t>Golden Oak Barrel Whisky</t>
  </si>
  <si>
    <t>Golden Sparrow Pinot (1320)</t>
  </si>
  <si>
    <t>Golden Sparrow Pinot (1550)</t>
  </si>
  <si>
    <t>Golden Sparrow Sangiovese (2)</t>
  </si>
  <si>
    <t>Golfers Shot 18 Blended Whisky</t>
  </si>
  <si>
    <t>Golfers Shot Whisky</t>
  </si>
  <si>
    <t>Grants Distinction</t>
  </si>
  <si>
    <t>Grants Distinction (1590)</t>
  </si>
  <si>
    <t>Greater Than London Dry</t>
  </si>
  <si>
    <t>Greater Than London Dry (1)</t>
  </si>
  <si>
    <t>Hapusa Himalayan Dry Gin (3630)</t>
  </si>
  <si>
    <t>Hardy Stamp of Aus Cab Merlot</t>
  </si>
  <si>
    <t>Havana Club 7 Years Rum 700 (2570)</t>
  </si>
  <si>
    <t>Hawkston Noble Res. Wky</t>
  </si>
  <si>
    <t>Henkell Sparkling</t>
  </si>
  <si>
    <t>HENKELL TROCKEN FINEST SPARKLING WINE (1850)</t>
  </si>
  <si>
    <t>Highland Queen 1561 Blen. 30y (25080)</t>
  </si>
  <si>
    <t>I Blue Premier Grain Whisky</t>
  </si>
  <si>
    <t>Iconiq White Deluxe Whisky</t>
  </si>
  <si>
    <t>ICONIQ WINTER (160)</t>
  </si>
  <si>
    <t>ICONIQ WINTER (620)</t>
  </si>
  <si>
    <t>IGL Bunty (GA) VODKA/Malt Whisky</t>
  </si>
  <si>
    <t>I Heart Pinot Noir (1700)</t>
  </si>
  <si>
    <t>Indri Malt Whisky House of Black/Gre (8580)</t>
  </si>
  <si>
    <t>Innate Reserve 9 Barrel Whisky</t>
  </si>
  <si>
    <t>IQ London Dry (1)</t>
  </si>
  <si>
    <t>I.Q. London Dry Gin</t>
  </si>
  <si>
    <t>J'Noon India Red Wine (4070)1</t>
  </si>
  <si>
    <t>Jack Daniel's Tennessee Honey Smooth (1)</t>
  </si>
  <si>
    <t>Jack Daniel's Tennessee Honey Smooth (3130)</t>
  </si>
  <si>
    <t>Jack Daniel Quality 1000 (4140)</t>
  </si>
  <si>
    <t>Jack Daniel Quality 200 (950)</t>
  </si>
  <si>
    <t>Jack Daniel Quality (1)</t>
  </si>
  <si>
    <t>Jacobs Creek Chardo. Pin Noir (2070)6pcs</t>
  </si>
  <si>
    <t>Jacob`s Creek Classic Merlot (1640)</t>
  </si>
  <si>
    <t>Jagermeister (1)</t>
  </si>
  <si>
    <t>Jagermeister 50 (370)</t>
  </si>
  <si>
    <t>Jagermester Limite Edit Liquor Flavour (3010)</t>
  </si>
  <si>
    <t>Jagermiester Retro (3270)</t>
  </si>
  <si>
    <t>Jameson Irish Caskmates Whisky (2560)</t>
  </si>
  <si>
    <t>JD Old No 7 Tennessee Sour Marsh (24Pcs) 1520</t>
  </si>
  <si>
    <t>Jim Beam Bourbon Why (410)</t>
  </si>
  <si>
    <t>Jim Beam Honey/orange (2520)</t>
  </si>
  <si>
    <t>Jinro Chamisul Soju Wine 360</t>
  </si>
  <si>
    <t>Jinro Green Grape/fruit Soju Wine 360</t>
  </si>
  <si>
    <t>Jura 12y Old Single Malt Scotch (5770)</t>
  </si>
  <si>
    <t>Justerini &amp; Brooks Rare (J&amp;B) (1850)</t>
  </si>
  <si>
    <t>J/w Blonde Blend 200 (590)</t>
  </si>
  <si>
    <t>J/w Blonde Blend (2560)</t>
  </si>
  <si>
    <t>J W Blue Lable (City x Mars)1 Pcs (23590)</t>
  </si>
  <si>
    <t>J W Blue Lable (London)1 Pcs (22930)</t>
  </si>
  <si>
    <t>JW Gold Label Reserve (5060)</t>
  </si>
  <si>
    <t>J/w Ultimate 18 Years (8130)</t>
  </si>
  <si>
    <t>Kahlua Cofee Liqueur (2140)</t>
  </si>
  <si>
    <t>Kahlua Cofee Liqueur (2160)</t>
  </si>
  <si>
    <t>Kilburn Whiskey (250)</t>
  </si>
  <si>
    <t>Kilburn Whiskey (490)</t>
  </si>
  <si>
    <t>Kilburn Whiskey (970)</t>
  </si>
  <si>
    <t>Kohinoor Rum 4340</t>
  </si>
  <si>
    <t>K.R Prem Green Apple Vodka</t>
  </si>
  <si>
    <t>Lagavulin Islay Single Sch Wsy 10260</t>
  </si>
  <si>
    <t>Laphroaig 10 Y (4560)</t>
  </si>
  <si>
    <t>Legancy Blended Whisky</t>
  </si>
  <si>
    <t>Le Grand Noir Cab Sau (1220)</t>
  </si>
  <si>
    <t>Lift Up G. Apple</t>
  </si>
  <si>
    <t>Lift Up Vodka</t>
  </si>
  <si>
    <t>Lindemans Cawarra Chardonnay (6Pcs) 1640</t>
  </si>
  <si>
    <t>Lindemans Cawarra Shiraz Cabernet (6Pcs) 1</t>
  </si>
  <si>
    <t>Lindemans Premier Selection Brut Cuvee (1130)</t>
  </si>
  <si>
    <t>Lindemans Premier Shiraz Cabernet (1000)</t>
  </si>
  <si>
    <t>Lindmans Pre. Shiraz Cabernet (1480)</t>
  </si>
  <si>
    <t>Lion Daddy Rum</t>
  </si>
  <si>
    <t>Loc XXX Rum</t>
  </si>
  <si>
    <t>London Green Apple</t>
  </si>
  <si>
    <t>London High Rich Apple Vodka (160)</t>
  </si>
  <si>
    <t>London High Rich Apple Vodka (320)</t>
  </si>
  <si>
    <t>London High Rich Apple Vodka</t>
  </si>
  <si>
    <t>London High Rich Vodka</t>
  </si>
  <si>
    <t>London High Vodka</t>
  </si>
  <si>
    <t>M2 Dazzle Vanilla Vodka</t>
  </si>
  <si>
    <t>M2 Dazzle Vanilla Vodka (1110)</t>
  </si>
  <si>
    <t>Madera Nashik Valley Red Wine (590)</t>
  </si>
  <si>
    <t>Maqintosh Silver Edition Whishky (1090)</t>
  </si>
  <si>
    <t>Mateus Rose (2210)</t>
  </si>
  <si>
    <t>Matsya Triple Reserve</t>
  </si>
  <si>
    <t>Matsya Triple Reserve (350)</t>
  </si>
  <si>
    <t>Mcd No.1 Luxury</t>
  </si>
  <si>
    <t>McDowell's Premium Citron Rum (210)</t>
  </si>
  <si>
    <t>McDowell's Premium Citron Rum (830)</t>
  </si>
  <si>
    <t>McDowell's Premium Dark Rum (190)</t>
  </si>
  <si>
    <t>McDowell's Premium Dark Rum</t>
  </si>
  <si>
    <t>McDowells Pre Flavour Vodka ( 770)</t>
  </si>
  <si>
    <t>Mcdowells Premium Dry Gin (240)</t>
  </si>
  <si>
    <t>Mcdowells Premium Dry Gin (940)</t>
  </si>
  <si>
    <t>M M Jamun Vodka</t>
  </si>
  <si>
    <t>Moet &amp; Chandon Rose Imperial (13320)</t>
  </si>
  <si>
    <t>Monte Pacifico Merlot/ Chardonnay Wine (1480)</t>
  </si>
  <si>
    <t>Moon Shine Wine (200)</t>
  </si>
  <si>
    <t>Moon Walk Flavour</t>
  </si>
  <si>
    <t>Moon Walk G.Apple/Orange</t>
  </si>
  <si>
    <t>Morpheus Blue Brandy (280)</t>
  </si>
  <si>
    <t>Morpheus Blue Brandy (1120)</t>
  </si>
  <si>
    <t>Morpheus Rare Luxury Whisky</t>
  </si>
  <si>
    <t>Morpheus XO Brandy</t>
  </si>
  <si>
    <t>Morpheus XO Brandy (450)</t>
  </si>
  <si>
    <t>Mountain Oak Dark Rum (160)</t>
  </si>
  <si>
    <t>Mountain Oak Dark Rum (320)</t>
  </si>
  <si>
    <t>Mountain Oak Salect (150)</t>
  </si>
  <si>
    <t>Mountain Oak Salect (310)</t>
  </si>
  <si>
    <t>Nautilus XO Brandy</t>
  </si>
  <si>
    <t>Nemiroff De Luxe (2630)</t>
  </si>
  <si>
    <t>Nicobar Indian Dry Jin (1940)</t>
  </si>
  <si>
    <t>Night Up Pr. Blended Whisky (730)</t>
  </si>
  <si>
    <t>Noi Sparking Rose (900)</t>
  </si>
  <si>
    <t>Oaken Glow (220)</t>
  </si>
  <si>
    <t>Oaken Glow (450)</t>
  </si>
  <si>
    <t>Oaken Glow (880)</t>
  </si>
  <si>
    <t>Oakshmith International</t>
  </si>
  <si>
    <t>OC Blue Grain Whisky</t>
  </si>
  <si>
    <t>OC Original Whisky</t>
  </si>
  <si>
    <t>Old Fox Rum (140)</t>
  </si>
  <si>
    <t>Old Fox Rum (290)</t>
  </si>
  <si>
    <t>Old Fox Rum (560)</t>
  </si>
  <si>
    <t>Old Monk Amber Mellow &amp; Matured Rum (490)</t>
  </si>
  <si>
    <t>Old Monk Amber Mellow &amp; Matured Rum (950)</t>
  </si>
  <si>
    <t>Old Monk Amber Mellow &amp; Matured Rum 90 (120)</t>
  </si>
  <si>
    <t>Old Monk Cofee Extra (240)</t>
  </si>
  <si>
    <t>Old Monk Cofee Extra (490)</t>
  </si>
  <si>
    <t>Old Monk Gold Rum (160)</t>
  </si>
  <si>
    <t>Old Monk Gold Rum (320)</t>
  </si>
  <si>
    <t>Old Monk Gold Rum (610)</t>
  </si>
  <si>
    <t>Old Monk Legend Rum (210 )</t>
  </si>
  <si>
    <t>Old Monk Legend Rum (410)</t>
  </si>
  <si>
    <t>Old Monk Legend Rum (800)</t>
  </si>
  <si>
    <t>Old Monk Lemon Rum (210)</t>
  </si>
  <si>
    <t>Old Monk Lemon Rum (420)</t>
  </si>
  <si>
    <t>Old Monk Lemon Rum (820)</t>
  </si>
  <si>
    <t>OLD MONK MANGO (210)</t>
  </si>
  <si>
    <t>OLD MONK MANGO (820)</t>
  </si>
  <si>
    <t>Old Monk Spiced Rum (240)</t>
  </si>
  <si>
    <t>Old Monk Supreme Rum</t>
  </si>
  <si>
    <t>Old Monk Supreme Rum (700)</t>
  </si>
  <si>
    <t>Old Monk White Rum</t>
  </si>
  <si>
    <t>Old Monk White Rum (200)</t>
  </si>
  <si>
    <t>Old Monk White Rum (700)</t>
  </si>
  <si>
    <t>Old Monk White Rum (780)</t>
  </si>
  <si>
    <t>Old Monk XXX Select Rum (140)</t>
  </si>
  <si>
    <t>Old Monk XXX Select Rum (290)</t>
  </si>
  <si>
    <t>Old Monk XXX Select Rum (560)</t>
  </si>
  <si>
    <t>One More Next Cranberry (200)</t>
  </si>
  <si>
    <t>One More Next Cranberry (400)</t>
  </si>
  <si>
    <t>One More Next Cranberry (790)</t>
  </si>
  <si>
    <t>OPM Canberry Whisky</t>
  </si>
  <si>
    <t>OPM Triple Vodka</t>
  </si>
  <si>
    <t>Outback Jack Chardonnay</t>
  </si>
  <si>
    <t>Patron Anejo (8990)</t>
  </si>
  <si>
    <t>Patron Reposado (6030)</t>
  </si>
  <si>
    <t>Patron Silver (5470)</t>
  </si>
  <si>
    <t>Paul John Indian Single Malt Whi Nirvana (2590)</t>
  </si>
  <si>
    <t>Paul John Indian Single Malt Whisky (4000)</t>
  </si>
  <si>
    <t>Penfolds Koonunga Hill Chardonnay 2010</t>
  </si>
  <si>
    <t>Poison Blacn/ Rough Wine (2440)</t>
  </si>
  <si>
    <t>Polo Grain Whisky</t>
  </si>
  <si>
    <t>Ponson Rouel (2440)</t>
  </si>
  <si>
    <t>Port Side (160)</t>
  </si>
  <si>
    <t>Raffles Green Apple Vodka</t>
  </si>
  <si>
    <t>R Challenge (American) (480)</t>
  </si>
  <si>
    <t>R Challenge Classic Premium Whisky</t>
  </si>
  <si>
    <t>Red Russian Vodka/Apple</t>
  </si>
  <si>
    <t>R Green Classic Blended Why</t>
  </si>
  <si>
    <t>Rio Gold</t>
  </si>
  <si>
    <t>Rips Royal Sup Grain Whisky (140)</t>
  </si>
  <si>
    <t>Rips Royal Sup Grain Whisky (560)</t>
  </si>
  <si>
    <t>Rismalt Why (8510) (Rampur) 6 PCS</t>
  </si>
  <si>
    <t>Rockford Classic Whiskhy</t>
  </si>
  <si>
    <t>Rockford Imperial Reserve (320)</t>
  </si>
  <si>
    <t>Rockford Imperial Reserve</t>
  </si>
  <si>
    <t>Rockford Imperial Reserve (1300)</t>
  </si>
  <si>
    <t>Rockford Reserve Whisky</t>
  </si>
  <si>
    <t>Romanov Apple Vodka</t>
  </si>
  <si>
    <t>Roulette Unpeated Premium Whisky (1020)</t>
  </si>
  <si>
    <t>Royal Black Reserve Whisky</t>
  </si>
  <si>
    <t>Royal Triple Whisky</t>
  </si>
  <si>
    <t>R. Ranthambore Rare Wky</t>
  </si>
  <si>
    <t>R. Ranthambore Rare Wky 60</t>
  </si>
  <si>
    <t>R. Ranthambore Rare Wky (1660)</t>
  </si>
  <si>
    <t>R Stag Barrel Whisky</t>
  </si>
  <si>
    <t>R Stag Superior Whisky</t>
  </si>
  <si>
    <t>Rye Old Hunters Reserve 700</t>
  </si>
  <si>
    <t>Rye Stara Myslivecka 1 Y 700</t>
  </si>
  <si>
    <t>Rye Stara Myslivecka 700</t>
  </si>
  <si>
    <t>Saint Remy Xo 700 (3550)</t>
  </si>
  <si>
    <t>Samara White Wine (450)</t>
  </si>
  <si>
    <t>Sangam Malt Whisky</t>
  </si>
  <si>
    <t>Schwartzhog Krauter Liqueur (2930)</t>
  </si>
  <si>
    <t>Senorita Angel Shiraz (Aus) (1940)</t>
  </si>
  <si>
    <t>Senorita Cabernet Sauvignon (1300)</t>
  </si>
  <si>
    <t>Senorita Chardonnay Wine</t>
  </si>
  <si>
    <t>Senorita Maselle Riesling Qba Haib (1600)</t>
  </si>
  <si>
    <t>Senorita Merlot Wine (1210)</t>
  </si>
  <si>
    <t>Seventh Haeven Whisky</t>
  </si>
  <si>
    <t>Seventh Haeven Whisky 90</t>
  </si>
  <si>
    <t>Shortwood Rose/chardonnay Wine (1390)</t>
  </si>
  <si>
    <t>Shotgun Strong Beer</t>
  </si>
  <si>
    <t>Signature Premier Grain Whisky</t>
  </si>
  <si>
    <t>Signatures Rare Aged Whisky</t>
  </si>
  <si>
    <t>Sikkim Xxx Prize Gold Rum</t>
  </si>
  <si>
    <t>Sikkim Xxx Prize Gold Rum (360)</t>
  </si>
  <si>
    <t>Singhasan finest blended</t>
  </si>
  <si>
    <t>Singhasan Finest Blended (1570)</t>
  </si>
  <si>
    <t>Skinny Witch Prosecco Brut (2410)</t>
  </si>
  <si>
    <t>Skinny Witch Prosecco Rose (2710)</t>
  </si>
  <si>
    <t>Sky Shots Supernova (630)</t>
  </si>
  <si>
    <t>Skyy Vodka (1680)</t>
  </si>
  <si>
    <t>Smirnoff Flavour Triple Distilled Vodka</t>
  </si>
  <si>
    <t>Snoski Fine Crafted Vodka</t>
  </si>
  <si>
    <t>Snoski Fine Green Apple</t>
  </si>
  <si>
    <t>Solan Gold Indian Single Malt (3990)</t>
  </si>
  <si>
    <t>Something Special Scoctch</t>
  </si>
  <si>
    <t>Soulamte Blue Whisky</t>
  </si>
  <si>
    <t>Sov 1965 Rum (140)</t>
  </si>
  <si>
    <t>Sov 1965 Rum (290)</t>
  </si>
  <si>
    <t>Sov 1965 Rum (560)</t>
  </si>
  <si>
    <t>Spirit Of Victory 1999 Malt Why (0)</t>
  </si>
  <si>
    <t>Srishti Select Collection Finest Whisky (190)</t>
  </si>
  <si>
    <t>Srishti Select Collection Finest Whisky (370)</t>
  </si>
  <si>
    <t>Srishti Select Collection Finest Whisky (730)</t>
  </si>
  <si>
    <t>Stainly Luxury Whisky (190)</t>
  </si>
  <si>
    <t>Stainly Luxury Whisky (720)</t>
  </si>
  <si>
    <t>Sterling Reserve BX Hippy Whisky</t>
  </si>
  <si>
    <t>Stoli Gold Premium Vodka (0)</t>
  </si>
  <si>
    <t>Sula Brut Methode Tradiotionelle (1300)</t>
  </si>
  <si>
    <t>Sula Chenin Blanc (810)</t>
  </si>
  <si>
    <t>Sula Dindori Reserve Shiraz Red (1)</t>
  </si>
  <si>
    <t>Sula Nasik Port Gold Wine (590)</t>
  </si>
  <si>
    <t>Sula Satori Tempranillo Red (420)</t>
  </si>
  <si>
    <t>Sula Satori Tempranillo Red (820)</t>
  </si>
  <si>
    <t>Sula Seco Methode Classique (770)</t>
  </si>
  <si>
    <t>Sula Seco White (760)</t>
  </si>
  <si>
    <t>Sula Vineyards Chenin Blanc white (770)</t>
  </si>
  <si>
    <t>Sula Vineyards Riesling White (940)</t>
  </si>
  <si>
    <t>Sula Vineyards Sauvignon Blanc white (430)</t>
  </si>
  <si>
    <t>Sula Vineyards Sauvignon Blanc white (850)</t>
  </si>
  <si>
    <t>Sula Vineyards Shiraz Cabernet Red (400)</t>
  </si>
  <si>
    <t>Sula Vineyards Shiraz Cabernet Red (770)</t>
  </si>
  <si>
    <t>Sula Vineyards Zinfandel (620)</t>
  </si>
  <si>
    <t>Tanqueray Rangpur Lime Gin 700 (2770)</t>
  </si>
  <si>
    <t>Taquila Reserva 0 Anejo 100% (5790)</t>
  </si>
  <si>
    <t>Tarai Litchus&amp;Mulberres (2260)</t>
  </si>
  <si>
    <t>Teachers 50 Blended Scotch (560)</t>
  </si>
  <si>
    <t>Teachers 50 Blended Scotch (1140)</t>
  </si>
  <si>
    <t>Teachers 50 Blended Scotch (2230)</t>
  </si>
  <si>
    <t>Teachers Golden Thistle Scotch (2520)</t>
  </si>
  <si>
    <t>Teachers Reserve Blended Scotch Whisky</t>
  </si>
  <si>
    <t>Terai India Craft Vodka (2060)</t>
  </si>
  <si>
    <t>The Dalmore 12yo Single Malt (10540)</t>
  </si>
  <si>
    <t>The Dalmore Port Wood (12460)</t>
  </si>
  <si>
    <t>The Drover Chardonny</t>
  </si>
  <si>
    <t>The Drover Shiraz</t>
  </si>
  <si>
    <t>The Famous Grouse (2270)</t>
  </si>
  <si>
    <t>The Glenwalk Blend Scotch Whsky 200 (560)New</t>
  </si>
  <si>
    <t>The Irishman Single Malt 700 (9200)</t>
  </si>
  <si>
    <t>The Macallan 12y Double Cask Whisky 6820</t>
  </si>
  <si>
    <t>The Macallan 12y Triple Cask Whisky (8340)</t>
  </si>
  <si>
    <t>The Macallan 15Y Triple Cask Sco. Whi (19)</t>
  </si>
  <si>
    <t>The Macallan 18Y Triple Cask Sco. Whi (40)</t>
  </si>
  <si>
    <t>The Singletone 18 Y (10260)</t>
  </si>
  <si>
    <t>The Source Cavernet Savignon Wine (1600)</t>
  </si>
  <si>
    <t>The Sprit of Kashmyr Indian Natural Vodka</t>
  </si>
  <si>
    <t>The Sprit of Kashmyr Indian Saffron Vodka</t>
  </si>
  <si>
    <t>Ti Amo Sartori (2060)</t>
  </si>
  <si>
    <t>Ujva Shiraz (1570)</t>
  </si>
  <si>
    <t>Ujva Ukukleka Cape Wine (2700)</t>
  </si>
  <si>
    <t>Vat 69 Blended Scotch Whisky</t>
  </si>
  <si>
    <t>Vecchia Ramgna Classica Brandy (2690)</t>
  </si>
  <si>
    <t>Ventisquero Clasico Cabernet Sauvignon (1570)</t>
  </si>
  <si>
    <t>Veranza Blanco/Tinto (1790) 6pcs</t>
  </si>
  <si>
    <t>Very Old Vated Old Monk Rum (150)</t>
  </si>
  <si>
    <t>Very Old Vated Old Monk Rum (310)</t>
  </si>
  <si>
    <t>Very Old Vated Old Monk Rum (610)</t>
  </si>
  <si>
    <t>Vina Pomal Reserva (1Pcs) 3620</t>
  </si>
  <si>
    <t>Vina Pormal Crianza</t>
  </si>
  <si>
    <t>Vina Tarapaca Cabernet Sauvignon (12Pcs) 2120</t>
  </si>
  <si>
    <t>Vin Green Label Blend Whisky</t>
  </si>
  <si>
    <t>VINO SPUMANTE ROSE TI AMO SARTORI (2060)</t>
  </si>
  <si>
    <t>W Craft Whisky (190)</t>
  </si>
  <si>
    <t>W Craft Whisky (360)</t>
  </si>
  <si>
    <t>W Craft Whisky (710)</t>
  </si>
  <si>
    <t>Went Vinayard Morning Fog Chanrdonny (3210)</t>
  </si>
  <si>
    <t>White &amp; Blue Whisky</t>
  </si>
  <si>
    <t>Wild Turkey Wine (3120)</t>
  </si>
  <si>
    <t>Wingman Blended Malt Whisky</t>
  </si>
  <si>
    <t>Woodburn Contemporary Whisky</t>
  </si>
  <si>
    <t>Woodford Reserve (5)</t>
  </si>
  <si>
    <t>Wood Note Reserve Whisky</t>
  </si>
  <si>
    <t>Wood Note Reserve Whisky 90</t>
  </si>
  <si>
    <t>Writers Tears Double Oak 700 (10010)</t>
  </si>
  <si>
    <t>Xclamation Premier Gin (210)</t>
  </si>
  <si>
    <t>Xclamation Premier Gin (420)</t>
  </si>
  <si>
    <t>Xclamation Premier Gin (820)</t>
  </si>
  <si>
    <t>Xclamation Premier Rum</t>
  </si>
  <si>
    <t>Xclamation Premier Rum (820)</t>
  </si>
  <si>
    <t>Xclamation Premier Vodka</t>
  </si>
  <si>
    <t>Xclamation Premier Vodka (420)</t>
  </si>
  <si>
    <t>Xclamation Premier Vodka (820)</t>
  </si>
  <si>
    <t>Xclamation Premier Whisky (210)</t>
  </si>
  <si>
    <t>Xclamation Premier Whisky (420)</t>
  </si>
  <si>
    <t>Xclamation Premier Whisky (820)</t>
  </si>
  <si>
    <t>X&amp;O Barrel Whiskey (230)</t>
  </si>
  <si>
    <t>X&amp;O Barrel Whiskey (470)</t>
  </si>
  <si>
    <t>X&amp;O Barrel Whiskey (920)</t>
  </si>
  <si>
    <t>Yamazaki Distiller Reserve (9890)</t>
  </si>
  <si>
    <t>Yellow Tail Red\pink Mascato/Shiraz (2900)</t>
  </si>
  <si>
    <t>Zoya Luxury Gin</t>
  </si>
  <si>
    <t>Zumba Black Spiced Rum</t>
  </si>
  <si>
    <t>Zumba Lemoni Rum</t>
  </si>
  <si>
    <t>Amstel Beer Grande Royale</t>
  </si>
  <si>
    <t>Amstel Light Beer</t>
  </si>
  <si>
    <t>Bia Saigon Lager (190)</t>
  </si>
  <si>
    <t>Bia saigon lager 355 (230)</t>
  </si>
  <si>
    <t>Big Bro Blanco</t>
  </si>
  <si>
    <t>Bira 91 Plus Strong Beer (140)</t>
  </si>
  <si>
    <t>Bira Crisp Rise Rice Strong Beer</t>
  </si>
  <si>
    <t>Bira Gold Strong Beer (150)</t>
  </si>
  <si>
    <t>Bira Light Beer (110)</t>
  </si>
  <si>
    <t>Bira White Ale</t>
  </si>
  <si>
    <t>Bira White Ale/Indian/Malabar (120)</t>
  </si>
  <si>
    <t>Birra Moretti Beer (240)</t>
  </si>
  <si>
    <t>Bro Red Claret</t>
  </si>
  <si>
    <t>Brose Buzz Brut Rose</t>
  </si>
  <si>
    <t>Budwiser MAGNUM Beer</t>
  </si>
  <si>
    <t>Budwiser Magnum International Beer</t>
  </si>
  <si>
    <t>Budwiser Premium Lager</t>
  </si>
  <si>
    <t>Buho Strong</t>
  </si>
  <si>
    <t>Buho Witbier</t>
  </si>
  <si>
    <t>Carib Strong Beer</t>
  </si>
  <si>
    <t>Cass Fresh (240)</t>
  </si>
  <si>
    <t>CB Strong Beer</t>
  </si>
  <si>
    <t>Coopers Extra Stout Beer</t>
  </si>
  <si>
    <t>Coopers Pale Ale Beer</t>
  </si>
  <si>
    <t>Dee Wine Elite 15</t>
  </si>
  <si>
    <t>Estella Damm Beer (200)</t>
  </si>
  <si>
    <t>Fosters Gold Premium Srtong Beer</t>
  </si>
  <si>
    <t>GodFather Strong/Legd. Beer</t>
  </si>
  <si>
    <t>GodFather Super8 Beer</t>
  </si>
  <si>
    <t>Hamester Flavour Beer (160)</t>
  </si>
  <si>
    <t>Hamester Strong (170)</t>
  </si>
  <si>
    <t>Haywards 0 Strong Beer</t>
  </si>
  <si>
    <t>Heinecan Beer (120)</t>
  </si>
  <si>
    <t>Heinecan Beer (170)</t>
  </si>
  <si>
    <t>Hillsberg Beer</t>
  </si>
  <si>
    <t>Hillsberg Ultra Beer</t>
  </si>
  <si>
    <t>Hoegarden Beer</t>
  </si>
  <si>
    <t>Hopper Blonde</t>
  </si>
  <si>
    <t>Hopper Blonde Beer</t>
  </si>
  <si>
    <t>Hopper Witbier</t>
  </si>
  <si>
    <t>Hopper Witbler Beer</t>
  </si>
  <si>
    <t>Hunter Refreshing St Nat Wheat Beer</t>
  </si>
  <si>
    <t>Joes Craft Premium Strong Beer</t>
  </si>
  <si>
    <t>K F Lager Beer</t>
  </si>
  <si>
    <t>K F Strong Beer</t>
  </si>
  <si>
    <t>K F Strong Malt Beer</t>
  </si>
  <si>
    <t>K F Ultra Lager Beer</t>
  </si>
  <si>
    <t>K F Ultra Max Strong Beer</t>
  </si>
  <si>
    <t>K F Ultra Strong Beer</t>
  </si>
  <si>
    <t>Meakin's 10,000 Strong Beer</t>
  </si>
  <si>
    <t>Medusa Sup St Beer</t>
  </si>
  <si>
    <t>Miller Ace Strong Beer</t>
  </si>
  <si>
    <t>Mounts 6000 Strong Beer (130)</t>
  </si>
  <si>
    <t>Proost Premium St</t>
  </si>
  <si>
    <t>Rockberg Strong</t>
  </si>
  <si>
    <t>Six Field Cult\Brute Beer</t>
  </si>
  <si>
    <t>Stock Strong Beer</t>
  </si>
  <si>
    <t>Super Maka Di</t>
  </si>
  <si>
    <t>Thunder Bolt Strong Beer</t>
  </si>
  <si>
    <t>Tuborg 1880 Gold Strong Beer</t>
  </si>
  <si>
    <t>Tuborg Classic Malt/ Strong Beer</t>
  </si>
  <si>
    <t>Tuborg Strong Malt Beer</t>
  </si>
  <si>
    <t>Tuborg White Danish</t>
  </si>
  <si>
    <t>Wild Drum Peach</t>
  </si>
  <si>
    <t>Wild Drum Pure Strong/peach/lemon/berry</t>
  </si>
  <si>
    <t>Wonder Wine</t>
  </si>
  <si>
    <t>DEWARS PORTUGUESE SMOOTH (2470)</t>
  </si>
  <si>
    <t>DEWARS TRUE SCOTCH White (1870)</t>
  </si>
  <si>
    <t>GREY GOOSE 200 (1090)</t>
  </si>
  <si>
    <t>Star Walker Whisky</t>
  </si>
  <si>
    <t>TAMERLANE WHISKY (1780)</t>
  </si>
  <si>
    <t>VINA POMAL RIOJA(2490)</t>
  </si>
  <si>
    <t>Bhrum Lemon White Rum</t>
  </si>
  <si>
    <t>Big Ben London</t>
  </si>
  <si>
    <t>Black Dog Centenary Scotch</t>
  </si>
  <si>
    <t>Black Dog Millard 14y Blended</t>
  </si>
  <si>
    <t>Black Dog Triple Gold</t>
  </si>
  <si>
    <t>Black Tower Pinot Noir Rose</t>
  </si>
  <si>
    <t>Black &amp; White C E B Scotch Why</t>
  </si>
  <si>
    <t>Blue Moon Dry Gin</t>
  </si>
  <si>
    <t>Bodega Norton Malbec</t>
  </si>
  <si>
    <t>Bodega Norton Merlot</t>
  </si>
  <si>
    <t>Boho Deluxe Whisky</t>
  </si>
  <si>
    <t>Boisson Res. Pre. Blended Whisky</t>
  </si>
  <si>
    <t>Bombay Sapphire Gin</t>
  </si>
  <si>
    <t>Bora Bora Vodka</t>
  </si>
  <si>
    <t>Bora Bora Vodka Cranberry</t>
  </si>
  <si>
    <t>BP Four Elements</t>
  </si>
  <si>
    <t>Brancott Estate Sauvignon Blcnc</t>
  </si>
  <si>
    <t>Budwiser Magnum American Whisky</t>
  </si>
  <si>
    <t>Buen Tequila</t>
  </si>
  <si>
    <t>Bulldog London Gin</t>
  </si>
  <si>
    <t>Bush Ballad Merlot Wine</t>
  </si>
  <si>
    <t>Bush Ballad Shiraz/Chardonnay</t>
  </si>
  <si>
    <t>Bush Ballad Shiraz Wine</t>
  </si>
  <si>
    <t>Bushmills Original Whiskey</t>
  </si>
  <si>
    <t>Calenter Reserve Rum</t>
  </si>
  <si>
    <t>Camas Chardonnay Wine</t>
  </si>
  <si>
    <t>Camas Malbac</t>
  </si>
  <si>
    <t>Camas Malbac Rouge Bebout</t>
  </si>
  <si>
    <t>Camas Marlot</t>
  </si>
  <si>
    <t>Camas Pinot Noir Rouge Bebout</t>
  </si>
  <si>
    <t>Camas Syrah Rose</t>
  </si>
  <si>
    <t>Camikara Rum Cask 3y Aged</t>
  </si>
  <si>
    <t>Campari</t>
  </si>
  <si>
    <t>Campo Viejo Rioja Tempranillo</t>
  </si>
  <si>
    <t>Canvas Cranberry/Apple Vodka</t>
  </si>
  <si>
    <t>Canvas Pure Vodka</t>
  </si>
  <si>
    <t>Caolila 12y Islay Single Malt</t>
  </si>
  <si>
    <t>Captain Morgan Rum</t>
  </si>
  <si>
    <t>Casco Silver</t>
  </si>
  <si>
    <t>Cashmir Vodka</t>
  </si>
  <si>
    <t>Chandon Brut Cuvee</t>
  </si>
  <si>
    <t>Chapoutier Belleruche Cotes/Blanc</t>
  </si>
  <si>
    <t>Chapoutier La Bernardine</t>
  </si>
  <si>
    <t>Chapoutier Marius Rough</t>
  </si>
  <si>
    <t>Chemin Das Papes Chateauneuf</t>
  </si>
  <si>
    <t>Chivas Regal 12 Year</t>
  </si>
  <si>
    <t>Chivas Regal 18 Year</t>
  </si>
  <si>
    <t>Chivas Regal 25 Year</t>
  </si>
  <si>
    <t>Cinzano Prosecco Wine</t>
  </si>
  <si>
    <t>Cinzano Rose Edition</t>
  </si>
  <si>
    <t>Cinzano Rose Edtion Sweet</t>
  </si>
  <si>
    <t>Cinzano Vermouth Rosso</t>
  </si>
  <si>
    <t>Ciroc Vodka</t>
  </si>
  <si>
    <t>Cosecha Cabernet Sauvignon</t>
  </si>
  <si>
    <t>Crystel Head Vodka</t>
  </si>
  <si>
    <t>Dalwhinnie Singal 15 Year</t>
  </si>
  <si>
    <t>Dewar 12Yo Burben Cas</t>
  </si>
  <si>
    <t>Dewar 18Yo</t>
  </si>
  <si>
    <t>Dewar S 12Y</t>
  </si>
  <si>
    <t>Dewar S 15Y</t>
  </si>
  <si>
    <t>DEWARS PORTUGUESE SMOOTH</t>
  </si>
  <si>
    <t>DEWARS TRUE SCOTCH White</t>
  </si>
  <si>
    <t>Dewars White Label Bl Scotch</t>
  </si>
  <si>
    <t>Dia Red Sparkler Wine</t>
  </si>
  <si>
    <t>Diplomatico Plans Rum</t>
  </si>
  <si>
    <t>Doaab Single Malt</t>
  </si>
  <si>
    <t>Don Angel Tequila Blanco</t>
  </si>
  <si>
    <t>Don Juilo 1942 Tequila</t>
  </si>
  <si>
    <t>Don Juilo Blanco 700</t>
  </si>
  <si>
    <t>Don Juilo Reposado 700</t>
  </si>
  <si>
    <t>Downing Street Prem. Whisky</t>
  </si>
  <si>
    <t>Dr. Zenzen Dry White Sparkling Wine</t>
  </si>
  <si>
    <t>Dr Zenzen Premium White Riesling l</t>
  </si>
  <si>
    <t>Dr.Zenzen Vino Noir Red Wine</t>
  </si>
  <si>
    <t>Dudies/shiraz/cabernet/sauvigon</t>
  </si>
  <si>
    <t>Duoble Blue Classic</t>
  </si>
  <si>
    <t>Dyavol Single Estate Vodka</t>
  </si>
  <si>
    <t>El Charro Tquila</t>
  </si>
  <si>
    <t>Elit Vodka</t>
  </si>
  <si>
    <t>Enso Reserve Japanese Whisky</t>
  </si>
  <si>
    <t>Evan Williams Black Bourbon Whisky</t>
  </si>
  <si>
    <t>Fairviews Goats Do Roam Red/White Wine</t>
  </si>
  <si>
    <t>Fox Sauvignon Blanc</t>
  </si>
  <si>
    <t>Fratelli Cabernet Franc Shiraz</t>
  </si>
  <si>
    <t>Fratelli Cabernet Franc Shiraz / Sauvig</t>
  </si>
  <si>
    <t>Fratelli Cabernet Franc Shiraz/ Sauvignonm</t>
  </si>
  <si>
    <t>Fratelli Cabernet Sauvugnon Red</t>
  </si>
  <si>
    <t>Fratelli Chardonnary White</t>
  </si>
  <si>
    <t>Fratelli Classic Chenin Blanc</t>
  </si>
  <si>
    <t>Fratelli Classic Chenin White / Red</t>
  </si>
  <si>
    <t>Fratelli Classic Merlot</t>
  </si>
  <si>
    <t>Fratelli Classic Merlot/Chenin Blanc</t>
  </si>
  <si>
    <t>Fratelli Classic Merlot/Chenin Shiraz</t>
  </si>
  <si>
    <t>Fratelli/Classic /Shiraj Red</t>
  </si>
  <si>
    <t>Fratelli Grain Brut</t>
  </si>
  <si>
    <t>Fratelli Master M/s</t>
  </si>
  <si>
    <t>Fratelli Merlot/Sangiovese Red Wine</t>
  </si>
  <si>
    <t>Fratelli Merlot/Savgiovese Red</t>
  </si>
  <si>
    <t>Fratelli MS Sangiovese Rose</t>
  </si>
  <si>
    <t>Fratelli Pinot Noir</t>
  </si>
  <si>
    <t>Fratelli Savvignon/Blanc</t>
  </si>
  <si>
    <t>Fratelli Savvignon/Blanc White</t>
  </si>
  <si>
    <t>Fratelli Sette Red</t>
  </si>
  <si>
    <t>Fratelli Shiraz Rose /m</t>
  </si>
  <si>
    <t>Fratelli Ziva Red/white Wine</t>
  </si>
  <si>
    <t>Fratelli Ziva Rose Wine</t>
  </si>
  <si>
    <t>Freixenet Cordon Negro</t>
  </si>
  <si>
    <t>Gaicondi Merlot / Chardonnay</t>
  </si>
  <si>
    <t>Gentleman Jack</t>
  </si>
  <si>
    <t>Glen Fiddich 15 Year</t>
  </si>
  <si>
    <t>Glen Fiddich Single Malt 18 Year Old</t>
  </si>
  <si>
    <t>Glen Fiddich Single Malt 21Y</t>
  </si>
  <si>
    <t>Glen Grant 10 YO</t>
  </si>
  <si>
    <t>Glen Grant 12 YO</t>
  </si>
  <si>
    <t>Glenlivet 12 Year Malt Scotch</t>
  </si>
  <si>
    <t>Glenlivet 15 Year Malt Scotch</t>
  </si>
  <si>
    <t>Glenlivet 18Y Malt Scotch 700 6 Pcs</t>
  </si>
  <si>
    <t>Glenlivet Caribbean Reserve Single Malt</t>
  </si>
  <si>
    <t>Glenlivet Single Malt12y</t>
  </si>
  <si>
    <t>Glenmorangie 10 YO</t>
  </si>
  <si>
    <t>Glenmorangie Lasanta</t>
  </si>
  <si>
    <t>Golden Sparrow Pinot</t>
  </si>
  <si>
    <t>Golden Sparrow Sangiovese</t>
  </si>
  <si>
    <t>GR8 Times Premium Green Apple/ Whisky</t>
  </si>
  <si>
    <t>Grants Family Reserve</t>
  </si>
  <si>
    <t>Grants Triple Wood</t>
  </si>
  <si>
    <t>Grey Groose Vodka</t>
  </si>
  <si>
    <t>Gunpowder Irish Gin</t>
  </si>
  <si>
    <t>Hapusa Himalayan Dry Gin</t>
  </si>
  <si>
    <t>Hendrick's Gin</t>
  </si>
  <si>
    <t>HENKELL TROCKEN FINEST SPARKLING WINE</t>
  </si>
  <si>
    <t>Hermosa Rose/Chardonnay/Merlot//Blanc</t>
  </si>
  <si>
    <t>Hibiki Japanese Harmony Wky</t>
  </si>
  <si>
    <t>Highland Park Single Malt 12y</t>
  </si>
  <si>
    <t>Highland Park Single Malt 15y</t>
  </si>
  <si>
    <t>Highland Queen 1561 Blen. 30y</t>
  </si>
  <si>
    <t>Highland Queen Majesty Single Malt Scothch</t>
  </si>
  <si>
    <t>Hillford Premium Whisky</t>
  </si>
  <si>
    <t>ICONIQ WINTER</t>
  </si>
  <si>
    <t>IGL Bunty</t>
  </si>
  <si>
    <t>I Heart Pinot Noir</t>
  </si>
  <si>
    <t>Indri Malt Whisky House of Black/Gre</t>
  </si>
  <si>
    <t>Indri Single Malt Indian Whisky Agneya</t>
  </si>
  <si>
    <t>Indri Singlemalt Whisky</t>
  </si>
  <si>
    <t>IQ London Dry</t>
  </si>
  <si>
    <t>Irishman Singhal Malt 700</t>
  </si>
  <si>
    <t>J'Noon India Red Wine</t>
  </si>
  <si>
    <t>Jack Daniel's Tennessee Honey Smooth</t>
  </si>
  <si>
    <t>Jack Daniel Honey/Fire</t>
  </si>
  <si>
    <t>Jack Daniel Old7</t>
  </si>
  <si>
    <t>Jack Daniel Old7/Honey/Fire</t>
  </si>
  <si>
    <t>Jack Daniel Quality</t>
  </si>
  <si>
    <t>Jack Daniels Single Barrel Select</t>
  </si>
  <si>
    <t>Jack Daniel Tannessee Apple</t>
  </si>
  <si>
    <t>Jacob's Creek Chardonnay Wine</t>
  </si>
  <si>
    <t>Jacob's Creek Shiraz Carbenet</t>
  </si>
  <si>
    <t>Jacobs Creek Chardo. Pin Noir</t>
  </si>
  <si>
    <t>Jacob`s Creek Classic Merlot</t>
  </si>
  <si>
    <t>Jagermeister</t>
  </si>
  <si>
    <t>Jagermester Limite Edit Liquor Flavour</t>
  </si>
  <si>
    <t>Jagermiester Retro</t>
  </si>
  <si>
    <t>Jaisalmare Gin Gold</t>
  </si>
  <si>
    <t>Jaisalmer Indian Craft</t>
  </si>
  <si>
    <t>Jameson Black Barrel Wky</t>
  </si>
  <si>
    <t>Jameson Irish Caskmates Whisky</t>
  </si>
  <si>
    <t>Jameson Irish Whisky</t>
  </si>
  <si>
    <t>Jamun Himalayan Gin</t>
  </si>
  <si>
    <t>J &amp; B Rare</t>
  </si>
  <si>
    <t>JD Old No 7 Tennessee Sour Marsh</t>
  </si>
  <si>
    <t>Jim Beam Bourbon Why</t>
  </si>
  <si>
    <t>Jim Beam Honey/orange</t>
  </si>
  <si>
    <t>Jinro Chamisul Soju Wine</t>
  </si>
  <si>
    <t>Jinro Green Grape/fruit Soju Wine</t>
  </si>
  <si>
    <t>Johnston Shiraz Wine</t>
  </si>
  <si>
    <t>Jose Cuervo Reposado Taquila</t>
  </si>
  <si>
    <t>Jose Cuervo Silver</t>
  </si>
  <si>
    <t>Jura 12y Old Single Malt Scotch</t>
  </si>
  <si>
    <t>Justerini &amp; Brooks Rare (J&amp;B)</t>
  </si>
  <si>
    <t>JW 18y Old</t>
  </si>
  <si>
    <t>JW Black 12Y</t>
  </si>
  <si>
    <t>JW Black Label</t>
  </si>
  <si>
    <t>J/w Blonde Blend</t>
  </si>
  <si>
    <t>JW Blue Label</t>
  </si>
  <si>
    <t>J W Blue Lable (City x Mars)1 Pcs</t>
  </si>
  <si>
    <t>J W Blue Lable (London)1 Pcs</t>
  </si>
  <si>
    <t>JW Double Black S/w</t>
  </si>
  <si>
    <t>JW Gold Label Reserve</t>
  </si>
  <si>
    <t>JW Red Label</t>
  </si>
  <si>
    <t>J/w Ultimate 18 Years</t>
  </si>
  <si>
    <t>Kahlua Cofee Liqueur</t>
  </si>
  <si>
    <t>Ketel One</t>
  </si>
  <si>
    <t>Kilburn Whiskey</t>
  </si>
  <si>
    <t>Knut Hansen Dry Gin</t>
  </si>
  <si>
    <t>Kohinoor Rum</t>
  </si>
  <si>
    <t>Lagavulin Islay Single Sch Wsy</t>
  </si>
  <si>
    <t>Laphroaig 10 Y</t>
  </si>
  <si>
    <t>La Rocca Vino Roso/Blanco</t>
  </si>
  <si>
    <t>Le Grand Noir Cab Sau</t>
  </si>
  <si>
    <t>Lindemans Cawarra Chardonnay</t>
  </si>
  <si>
    <t>Lindemans Cawarra Shiraz Cabernet</t>
  </si>
  <si>
    <t>Lindemans Premier Selection Brut Cuvee</t>
  </si>
  <si>
    <t>Lindemans Premier Shiraz Cabernet</t>
  </si>
  <si>
    <t>Lindmans Pre. Selection Chardonnay</t>
  </si>
  <si>
    <t>Lindmans Pre. Shiraz Cabernet</t>
  </si>
  <si>
    <t>Longitude 77</t>
  </si>
  <si>
    <t>Madera Nashik Valley Red Wine</t>
  </si>
  <si>
    <t>Maqintosh Silver Edition Whishky</t>
  </si>
  <si>
    <t>Mateus Rose</t>
  </si>
  <si>
    <t>McDowell's No.-1 Superior Whisky</t>
  </si>
  <si>
    <t>McDowell's Premium Citron Rum</t>
  </si>
  <si>
    <t>McDowell's Premium Vodka</t>
  </si>
  <si>
    <t>McDowells Pre Flavour Vodka</t>
  </si>
  <si>
    <t>Mcdowells Premium Dry Gin</t>
  </si>
  <si>
    <t>Meukow Liqueur Vanilla</t>
  </si>
  <si>
    <t>M M Verve Vodka</t>
  </si>
  <si>
    <t>M M Verve Vodka Apple/Orance</t>
  </si>
  <si>
    <t>M M Vodka</t>
  </si>
  <si>
    <t>M M Vodka Apple/Orance</t>
  </si>
  <si>
    <t>Moet &amp; Chandan Rose</t>
  </si>
  <si>
    <t>Moet &amp; Chandon Imperial Brut</t>
  </si>
  <si>
    <t>Moet &amp; Chandon Rose Imperial</t>
  </si>
  <si>
    <t>Monkey 47 Dry Gin</t>
  </si>
  <si>
    <t>Monkey Shoulder</t>
  </si>
  <si>
    <t>Monte Pacifico Merlot/ Chardonnay Wine</t>
  </si>
  <si>
    <t>Moon Shine Wine</t>
  </si>
  <si>
    <t>Morpheus Blue Brandy</t>
  </si>
  <si>
    <t>Mountain Oak Citrus Rum Lemon</t>
  </si>
  <si>
    <t>Mountain Oak Dark Rum</t>
  </si>
  <si>
    <t>Mountain Oak Salect</t>
  </si>
  <si>
    <t>Mythic Mountain Malbeck/chardonnay</t>
  </si>
  <si>
    <t>Nemiroff De Luxe</t>
  </si>
  <si>
    <t>Nicobar Indian Dry Jin</t>
  </si>
  <si>
    <t>Night Up Pr. Blended Whisky</t>
  </si>
  <si>
    <t>Noi Sparking Rose</t>
  </si>
  <si>
    <t>Noi Sparking Wine</t>
  </si>
  <si>
    <t>Oaken Glow</t>
  </si>
  <si>
    <t>Oakshmith Gold</t>
  </si>
  <si>
    <t>Oakwood Creek Whisky</t>
  </si>
  <si>
    <t>Old Fox Rum</t>
  </si>
  <si>
    <t>Old Monk Amber Mellow &amp; Matured Rum</t>
  </si>
  <si>
    <t>Old Monk Cofee Extra</t>
  </si>
  <si>
    <t>Old Monk Gold Rum</t>
  </si>
  <si>
    <t>Old Monk Legend Rum</t>
  </si>
  <si>
    <t>Old Monk Lemon Rum</t>
  </si>
  <si>
    <t>OLD MONK MANGO</t>
  </si>
  <si>
    <t>Old Monk Spiced Rum</t>
  </si>
  <si>
    <t>Old Monk XXX Select Rum</t>
  </si>
  <si>
    <t>One More Apple/Orange</t>
  </si>
  <si>
    <t>One More Craft Vodka</t>
  </si>
  <si>
    <t>One More Next Cranberry</t>
  </si>
  <si>
    <t>Oprahi Cabernet Merlot</t>
  </si>
  <si>
    <t>Oprahi Cebernet Merlot Wine</t>
  </si>
  <si>
    <t>Oprahi Pinot Chardonnay Wine</t>
  </si>
  <si>
    <t>Outback Jack Cavernet Marlot</t>
  </si>
  <si>
    <t>Passport Blended Whisky</t>
  </si>
  <si>
    <t>Patron Anejo</t>
  </si>
  <si>
    <t>Patron Reposado</t>
  </si>
  <si>
    <t>Patron Silver</t>
  </si>
  <si>
    <t>Paul John Indian Single Malt Whi Nirvana</t>
  </si>
  <si>
    <t>Paul John Indian Single Malt Whisky</t>
  </si>
  <si>
    <t>Pelican Soul Pinotage</t>
  </si>
  <si>
    <t>Penfolds Koonunga Hill Chardonnay</t>
  </si>
  <si>
    <t>Poison Blacn/ Rough Wine</t>
  </si>
  <si>
    <t>Ponson Rouel</t>
  </si>
  <si>
    <t>Port Side</t>
  </si>
  <si>
    <t>RAMPUR ASAVA</t>
  </si>
  <si>
    <t>Rasa Syrah Red Wine</t>
  </si>
  <si>
    <t>R Challenge</t>
  </si>
  <si>
    <t>R Challenge (American)</t>
  </si>
  <si>
    <t>R Challenge Play Whisky</t>
  </si>
  <si>
    <t>Remy Martin Cognac Vsop</t>
  </si>
  <si>
    <t>Rips Royal Sup Grain Whisky</t>
  </si>
  <si>
    <t>Rockclimber Crafted Reserve/Elite Wine</t>
  </si>
  <si>
    <t>Roulette Unpeated Premium Whisky</t>
  </si>
  <si>
    <t>Royal Brigade Whisky</t>
  </si>
  <si>
    <t>Royal Sainta Emilion</t>
  </si>
  <si>
    <t>R Stag Dark Whisky</t>
  </si>
  <si>
    <t>Rye Old Hunters Reserve</t>
  </si>
  <si>
    <t>Rye Stara Myslivecka 1 Y</t>
  </si>
  <si>
    <t>Rye Stara Myslivecka</t>
  </si>
  <si>
    <t>Samara Red</t>
  </si>
  <si>
    <t>Samara White Wine</t>
  </si>
  <si>
    <t>Sangre De Toro</t>
  </si>
  <si>
    <t>Schwartzhog Krauter Liqueur</t>
  </si>
  <si>
    <t>Scots Choice Blended Whisky</t>
  </si>
  <si>
    <t>Scottish Leader Scotch Whiskey</t>
  </si>
  <si>
    <t>Senorita Angel Shiraz (Aus)</t>
  </si>
  <si>
    <t>Senorita Cabernet Sauvignon</t>
  </si>
  <si>
    <t>Senorita Maselle Riesling Qba Haib</t>
  </si>
  <si>
    <t>Senorita Merlot Wine</t>
  </si>
  <si>
    <t>Shortwood Rose/chardonnay Wine</t>
  </si>
  <si>
    <t>Sidus Premium Red Wine</t>
  </si>
  <si>
    <t>Singhasan Finest Blended</t>
  </si>
  <si>
    <t>Skinny Witch Prosecco Brut</t>
  </si>
  <si>
    <t>Skinny Witch Prosecco Rose</t>
  </si>
  <si>
    <t>Sky Shots Supernova</t>
  </si>
  <si>
    <t>Skyy Vodka</t>
  </si>
  <si>
    <t>Smirnoff Triple Distilled Vodka</t>
  </si>
  <si>
    <t>Smoke Vodka Classic</t>
  </si>
  <si>
    <t>Solan Gold Indian Single Malt</t>
  </si>
  <si>
    <t>Soulmate Soperior Whisky</t>
  </si>
  <si>
    <t>Sov 1965 Rum</t>
  </si>
  <si>
    <t>Spirit Of Victory 1999 Malt Why</t>
  </si>
  <si>
    <t>Srishti Select Collection Finest Whisky</t>
  </si>
  <si>
    <t>Stainly Luxury Whisky</t>
  </si>
  <si>
    <t>Stoli Gold Premium Vodka</t>
  </si>
  <si>
    <t>Sula Brut Methode Tradiotionelle</t>
  </si>
  <si>
    <t>Sula Chenin Blanc</t>
  </si>
  <si>
    <t>Sula Dindori Reserve Chardonary White</t>
  </si>
  <si>
    <t>Sula Dindori Reserve Shiraz Red</t>
  </si>
  <si>
    <t>Sula Nasik Port Gold Wine</t>
  </si>
  <si>
    <t>Sula Satori Tempranillo Red</t>
  </si>
  <si>
    <t>Sula Seco Methode Classique</t>
  </si>
  <si>
    <t>Sula Seco White</t>
  </si>
  <si>
    <t>Sula Tropical Rose</t>
  </si>
  <si>
    <t>Sula Vineyards Chenin Blanc white</t>
  </si>
  <si>
    <t>Sula Vineyards Riesling White</t>
  </si>
  <si>
    <t>Sula Vineyards Sauvignon Blanc white</t>
  </si>
  <si>
    <t>Sula Vineyards Shiraz Cabernet Red</t>
  </si>
  <si>
    <t>Sula Vineyards Zinfandel</t>
  </si>
  <si>
    <t>Sula Zinfandel Red</t>
  </si>
  <si>
    <t>Sula Zinfandel Rose</t>
  </si>
  <si>
    <t>Taliskar Single Malt Whisky</t>
  </si>
  <si>
    <t>Talisker 10Y</t>
  </si>
  <si>
    <t>TAMERLANE WHISKY</t>
  </si>
  <si>
    <t>Tanquery Lon Dry Gin</t>
  </si>
  <si>
    <t>Taquila Reserva 0 Anejo 100%</t>
  </si>
  <si>
    <t>Tarai India Dry Gin</t>
  </si>
  <si>
    <t>Tarai Litchus&amp;Mulberres</t>
  </si>
  <si>
    <t>Teachers 50 Blended Scotch</t>
  </si>
  <si>
    <t>Teachers Golden Thistle Scotch</t>
  </si>
  <si>
    <t>Teachers High Land Cream</t>
  </si>
  <si>
    <t>Teachers Highland Cream Scotch</t>
  </si>
  <si>
    <t>Tequila Camino Real Blanco</t>
  </si>
  <si>
    <t>Terai India Craft Vodka</t>
  </si>
  <si>
    <t>Terroir Daronton Chateauneuf Roug</t>
  </si>
  <si>
    <t>The Dalmore 12yo Single Malt</t>
  </si>
  <si>
    <t>The Dalmore Port Wood</t>
  </si>
  <si>
    <t>The Drover Merlot/ Pinot Grigio</t>
  </si>
  <si>
    <t>The Famous Grouse</t>
  </si>
  <si>
    <t>The Glen Grant Arborals</t>
  </si>
  <si>
    <t>The Glenwalk Blend Scotch Whsky</t>
  </si>
  <si>
    <t>The Macallan 12y Double Cask Whisky</t>
  </si>
  <si>
    <t>The Macallan 12y Triple Cask Whisky</t>
  </si>
  <si>
    <t>The Macallan 15Y Triple Cask Sco. Whi</t>
  </si>
  <si>
    <t>The Macallan 18Y Triple Cask Sco. Whi</t>
  </si>
  <si>
    <t>The Singletone 18 Y</t>
  </si>
  <si>
    <t>The Source Cavernet Savignon Wine</t>
  </si>
  <si>
    <t>The Source Grenache Rose Wine</t>
  </si>
  <si>
    <t>Ti Amo Prosecco Brut</t>
  </si>
  <si>
    <t>Ti Amo Sartori</t>
  </si>
  <si>
    <t>Titos Handmade Vodka</t>
  </si>
  <si>
    <t>Ujva Chardonnay Wine</t>
  </si>
  <si>
    <t>Ujva Pinotage Reserve Wine</t>
  </si>
  <si>
    <t>Ujva Shiraz</t>
  </si>
  <si>
    <t>Ujva Ukukleka Cape Wine</t>
  </si>
  <si>
    <t>Vecchia Ramgna Classica Brandy</t>
  </si>
  <si>
    <t>Ventisquero Clasico Cabernet Sauvignon</t>
  </si>
  <si>
    <t>Veranza Blanco/Tinto</t>
  </si>
  <si>
    <t>Very Old Vated Old Monk Rum</t>
  </si>
  <si>
    <t>Vina Pomal Reserva</t>
  </si>
  <si>
    <t>VINA POMAL RIOJA</t>
  </si>
  <si>
    <t>Vina Tarapaca Cabernet Sauvignon</t>
  </si>
  <si>
    <t>VINO SPUMANTE ROSE TI AMO SARTORI</t>
  </si>
  <si>
    <t>Vodka Russian Standard</t>
  </si>
  <si>
    <t>W Craft Whisky</t>
  </si>
  <si>
    <t>Went Vinayard Morning Fog Chanrdonny</t>
  </si>
  <si>
    <t>Whistler Barrel Blended Malt Wky</t>
  </si>
  <si>
    <t>Wild Turkey Wine</t>
  </si>
  <si>
    <t>Woodford Reserve</t>
  </si>
  <si>
    <t>Writers Tears Copper Pot</t>
  </si>
  <si>
    <t>Xclamation Premier Gin</t>
  </si>
  <si>
    <t>Xclamation Premier Whisky</t>
  </si>
  <si>
    <t>X&amp;O Barrel Whiskey</t>
  </si>
  <si>
    <t>Yamazaki Distiller Reserve</t>
  </si>
  <si>
    <t>Yellow Tail Cabernet</t>
  </si>
  <si>
    <t>Yellow Tail Mascato/Shiraz</t>
  </si>
  <si>
    <t>Yellow Tail Red\pink Mascato/Shiraz</t>
  </si>
  <si>
    <t>Zoya Watermelon Gin</t>
  </si>
  <si>
    <t>Bad Monkey Wild Strong Beer</t>
  </si>
  <si>
    <t>B Breezer Flav. Beer 275 8%</t>
  </si>
  <si>
    <t>Bia Saigon Lager</t>
  </si>
  <si>
    <t>Bira 91 Plus Strong Beer</t>
  </si>
  <si>
    <t>Bira Blonde / Light</t>
  </si>
  <si>
    <t>Bira Gold Strong Beer</t>
  </si>
  <si>
    <t>Bira Light Beer</t>
  </si>
  <si>
    <t>Bira White Ale/Indian/Malabar</t>
  </si>
  <si>
    <t>Birra Moretti Beer</t>
  </si>
  <si>
    <t>Black Pearl Storng Beer</t>
  </si>
  <si>
    <t>Bro Code EL Classic</t>
  </si>
  <si>
    <t>Campai Wit/strong</t>
  </si>
  <si>
    <t>Cass Fresh</t>
  </si>
  <si>
    <t>CB Elephant</t>
  </si>
  <si>
    <t>CB Elephant Strong Beer</t>
  </si>
  <si>
    <t>CB Strong</t>
  </si>
  <si>
    <t>Corona Beer</t>
  </si>
  <si>
    <t>Dee Wine Elite</t>
  </si>
  <si>
    <t>Disco Panda Hoppy/Mango Magic</t>
  </si>
  <si>
    <t>Disco Panda Hoppy Mania Sup. Strong</t>
  </si>
  <si>
    <t>Disco Panda Paan Supari St</t>
  </si>
  <si>
    <t>Estella Damm Beer</t>
  </si>
  <si>
    <t>Golden Eagle Classic Strong Beer</t>
  </si>
  <si>
    <t>Hamester Flavour Beer</t>
  </si>
  <si>
    <t>Hamester Strong</t>
  </si>
  <si>
    <t>Heinecan Beer</t>
  </si>
  <si>
    <t>IQ Spacially Wheat</t>
  </si>
  <si>
    <t>K F S Extra Special Strong Beer</t>
  </si>
  <si>
    <t>Kolt Gold Strong Beer</t>
  </si>
  <si>
    <t>Mounts 6000 Strong Beer</t>
  </si>
  <si>
    <t>Old Monk St Beer</t>
  </si>
  <si>
    <t>Bowmore 12 YO</t>
  </si>
  <si>
    <t>Bush Malt 12YO</t>
  </si>
  <si>
    <t>Bushmills 16 Years</t>
  </si>
  <si>
    <t>Bushmills 21 Years</t>
  </si>
  <si>
    <t>Cambridge Dry Gin</t>
  </si>
  <si>
    <t>Gin Mg Orange</t>
  </si>
  <si>
    <t>Gin Mg Sp</t>
  </si>
  <si>
    <t>Glen Fiddich 12 Year</t>
  </si>
  <si>
    <t>Glenkinchie 12 YO</t>
  </si>
  <si>
    <t>Godawan Single Malt Rich/Fruit</t>
  </si>
  <si>
    <t>GREY GOOSE</t>
  </si>
  <si>
    <t>Havana Club 7 Years Rum</t>
  </si>
  <si>
    <t>Hendrick's Flora Adora Gin</t>
  </si>
  <si>
    <t>Hennessy Vs Cognac</t>
  </si>
  <si>
    <t>Hennessy VSOP</t>
  </si>
  <si>
    <t>Hennessy Xo</t>
  </si>
  <si>
    <t>Irishman The Harvest Irish Whisky</t>
  </si>
  <si>
    <t>Jim Beam White Why</t>
  </si>
  <si>
    <t>Jodhpur Gin</t>
  </si>
  <si>
    <t>Jura 10Y</t>
  </si>
  <si>
    <t>Jura 18y Old</t>
  </si>
  <si>
    <t>Lucifres Gold</t>
  </si>
  <si>
    <t>Martell VS Cognac</t>
  </si>
  <si>
    <t>Noi Spritzer Classico</t>
  </si>
  <si>
    <t>Patron Reposado Tequila</t>
  </si>
  <si>
    <t>Punter /Damso Soju</t>
  </si>
  <si>
    <t>Roku Gin</t>
  </si>
  <si>
    <t>Ron Piet Xo Rum (1Pcs)</t>
  </si>
  <si>
    <t>Royal Salute Scotch Whisky</t>
  </si>
  <si>
    <t>Rye Staramyslivecka</t>
  </si>
  <si>
    <t>Rye Staramyslivecka Reserve</t>
  </si>
  <si>
    <t>Saint Remy Vsop Brandy</t>
  </si>
  <si>
    <t>Saint Remy Xo</t>
  </si>
  <si>
    <t>Shanky's Whip Black Irish (1Pcs)</t>
  </si>
  <si>
    <t>Skull X Platinum Filterd Vodka</t>
  </si>
  <si>
    <t>Soldepenas Tempranillo Gamacha(1)</t>
  </si>
  <si>
    <t>Suntory Whisky Toki</t>
  </si>
  <si>
    <t>Tanqueray Rangpur Lime Gin</t>
  </si>
  <si>
    <t>The Ardmore 12 Years</t>
  </si>
  <si>
    <t>The Ardmore Singel Malt Scotch Whisky</t>
  </si>
  <si>
    <t>The Irishman Single Malt</t>
  </si>
  <si>
    <t>The Singleton 12Y</t>
  </si>
  <si>
    <t>The Singletone 15 Y</t>
  </si>
  <si>
    <t>Tilt Bubbly Rose</t>
  </si>
  <si>
    <t>Tilt Red/White</t>
  </si>
  <si>
    <t>Writers Tears Double Oak</t>
  </si>
  <si>
    <t>B Breezer Blueberry/Mango</t>
  </si>
  <si>
    <t>Bia saigon lager</t>
  </si>
  <si>
    <t>Inacane</t>
  </si>
  <si>
    <t>06 ROSE VODKA</t>
  </si>
  <si>
    <t>100 PIPERS 12 YO BLENDED SCOTCH</t>
  </si>
  <si>
    <t>100 PIPERS SCOTCH</t>
  </si>
  <si>
    <t>100 PIPERS SCOTCH 8 YEAR</t>
  </si>
  <si>
    <t>1943 VIRASAT INDIAN WHISKY</t>
  </si>
  <si>
    <t>1965 ESPRESSO COFFEE PREMIUM DARK RUM</t>
  </si>
  <si>
    <t>1965 LEMON DASH RUM</t>
  </si>
  <si>
    <t>2021 LOST POET ROSE WINE</t>
  </si>
  <si>
    <t>8PM BLACK WHY</t>
  </si>
  <si>
    <t>8PM GOLD WHISKY</t>
  </si>
  <si>
    <t>8PM WHISKY</t>
  </si>
  <si>
    <t>9 RACE COURSE SUPERIOR GRAIN WHISKY</t>
  </si>
  <si>
    <t>ABERFELDY 12 YO OLD WHISKY</t>
  </si>
  <si>
    <t>ABERLOUR 12 YO DOUBLE CASK</t>
  </si>
  <si>
    <t>ABSOLUTE GRAPEFRUIT</t>
  </si>
  <si>
    <t>ABSOLUTE VODKA</t>
  </si>
  <si>
    <t>ABSOLUT FLAVOUR</t>
  </si>
  <si>
    <t>ABSOLUT FLAVOUR(MDRIN CIT. RESP.LIME)</t>
  </si>
  <si>
    <t>ADIRA MACABEO WHITE</t>
  </si>
  <si>
    <t>ADIRA MERLOT (1)</t>
  </si>
  <si>
    <t>ADIRA ROSE WINE</t>
  </si>
  <si>
    <t>AFTER DARK BLUE RARE WHISKY</t>
  </si>
  <si>
    <t>AKASHI BLANDED WHISKY</t>
  </si>
  <si>
    <t>AKASHI BLANDED BLUE WHISKY</t>
  </si>
  <si>
    <t>ALCOBREW SINGLE OAK WHISKY</t>
  </si>
  <si>
    <t>ALENTADOR CREMA FRESA CON</t>
  </si>
  <si>
    <t>ALENTADOR ROSE TEQUILA</t>
  </si>
  <si>
    <t>ALL SEASONS SIR TAJ WHISKEY</t>
  </si>
  <si>
    <t>ALL SEASONS WHISKY</t>
  </si>
  <si>
    <t>ALTAMURA VODKA</t>
  </si>
  <si>
    <t>AMALFI LIMONCELLO WHISKY</t>
  </si>
  <si>
    <t>AMARO MONTENEGRO</t>
  </si>
  <si>
    <t>AMAZING APPLE VODKA</t>
  </si>
  <si>
    <t>AMAZING DELUXE CRAFT WHISKY</t>
  </si>
  <si>
    <t>AMAZING VODKA</t>
  </si>
  <si>
    <t>AMG SMOOTH/CARVON</t>
  </si>
  <si>
    <t>AMRULA CREAM WITH MARULA SPRIT</t>
  </si>
  <si>
    <t>AMRUT MAQINTOSH WHISKY</t>
  </si>
  <si>
    <t>AMRUT PRESTIGE GREEN WHSKY</t>
  </si>
  <si>
    <t>ANTIQUITY BLUE WHISKY</t>
  </si>
  <si>
    <t>ANTONAV VODKA</t>
  </si>
  <si>
    <t>APEROL</t>
  </si>
  <si>
    <t>APPLETON ESTATE JAMAICA RUM 12 Y</t>
  </si>
  <si>
    <t>AQVA DI GIN FLORA/CITRUS</t>
  </si>
  <si>
    <t>ARTHAUS COLLECTIVE BLEND MALT</t>
  </si>
  <si>
    <t>ARTIC CRANBERRY</t>
  </si>
  <si>
    <t>ARTIC PREMIUM VODKA</t>
  </si>
  <si>
    <t>ARTIC PREMIUM VODKA GREEN APPLE</t>
  </si>
  <si>
    <t>ARTIC RIPE CRANBERRY</t>
  </si>
  <si>
    <t>B-7 SPECIAL BLENDED</t>
  </si>
  <si>
    <t>BACARDI BLACK CLASSIC RUM</t>
  </si>
  <si>
    <t>BACARDI CB WHITE</t>
  </si>
  <si>
    <t>BACARDI LIMON SUPER CLASSIC</t>
  </si>
  <si>
    <t>BAGPIPER SUPERIOR WHISKY</t>
  </si>
  <si>
    <t>BAILEYS THE ORIGINAL IRISH</t>
  </si>
  <si>
    <t>BALLANTINE FINEST SCOTCH WHISKY</t>
  </si>
  <si>
    <t>BALLANTINE FINEST WHISKY</t>
  </si>
  <si>
    <t>BALLANTINES 17 YO SCOTCH</t>
  </si>
  <si>
    <t>BALVENIE 12YO SINGLE MALT 1 PCS</t>
  </si>
  <si>
    <t>BARONI CHARDONARY/PHILIPPE DE CADET (1)</t>
  </si>
  <si>
    <t>BARON PHILIPPE DE ROTH. CADET DOC PINOT NOIR</t>
  </si>
  <si>
    <t>BARRHEADS ONE SINGLE MALT</t>
  </si>
  <si>
    <t>BATCH 9 RARE CASK RESERVE WHISKY</t>
  </si>
  <si>
    <t>BEEFEATHER LONDAON DRY GIN</t>
  </si>
  <si>
    <t>BELA CHARDONNAY/SAUVIGNON</t>
  </si>
  <si>
    <t>BELENKAYA GOLD VODKA</t>
  </si>
  <si>
    <t>BELLINA GIN CREAM</t>
  </si>
  <si>
    <t>BELUGA TRANSATLANTIC</t>
  </si>
  <si>
    <t>BELUGA VODKA</t>
  </si>
  <si>
    <t>BELVEDERE VODKA</t>
  </si>
  <si>
    <t>BELVENIE SINGLE MALT 12Y</t>
  </si>
  <si>
    <t>BHRUM LEMON WHITE RUM</t>
  </si>
  <si>
    <t>BIG BEN LONDON</t>
  </si>
  <si>
    <t>BLACK DOG CENTENARY SCOTCH</t>
  </si>
  <si>
    <t>BLACK DOG MILLARD 14Y BLENDED</t>
  </si>
  <si>
    <t>BLACK DOG TRIPLE GOLD</t>
  </si>
  <si>
    <t>BLACK TOWER PINOT NOIR ROSE</t>
  </si>
  <si>
    <t>BLACK &amp; WHITE C E B SCOTCH WHY</t>
  </si>
  <si>
    <t>BLUE MOON DRY GIN</t>
  </si>
  <si>
    <t>BODEGA NORTON MALBEC</t>
  </si>
  <si>
    <t>BODEGA NORTON MERLOT</t>
  </si>
  <si>
    <t>BOHO DELUXE WHISKY</t>
  </si>
  <si>
    <t>BOISSON RES. PRE. BLENDED WHISKY</t>
  </si>
  <si>
    <t>BOMBAY SAPPHIRE GIN</t>
  </si>
  <si>
    <t>BONACCHI BRUNELLO DE MONTEPULCIANO</t>
  </si>
  <si>
    <t>BORA BORA VODKA</t>
  </si>
  <si>
    <t>BORA BORA VODKA CRANBERRY</t>
  </si>
  <si>
    <t>BOWMORE 12 YO</t>
  </si>
  <si>
    <t>BP FOUR ELEMENTS</t>
  </si>
  <si>
    <t>BP RARE PREMIUM WHISKY</t>
  </si>
  <si>
    <t>BP RESERVE COLLECTION</t>
  </si>
  <si>
    <t>BRANCOTT ESTATE SAUVIGNON BLCNC</t>
  </si>
  <si>
    <t>BROTHERS AND CO. FINEST BLENDED WHISKY</t>
  </si>
  <si>
    <t>BROTHERS AND CO. FINEST BLENDED WHISKY 90 NE</t>
  </si>
  <si>
    <t>BUDWISER MAGNUM AMERICAN WHISKY</t>
  </si>
  <si>
    <t>BUEN TEQUILA</t>
  </si>
  <si>
    <t>BULLDOG LONDON GIN</t>
  </si>
  <si>
    <t>BURNETTS LONDON DRY GIN</t>
  </si>
  <si>
    <t>BUSH BALLAD MERLOT WINE</t>
  </si>
  <si>
    <t>BUSH BALLAD SHIRAZ/CHARDONNAY</t>
  </si>
  <si>
    <t>BUSH BALLAD SHIRAZ WINE</t>
  </si>
  <si>
    <t>BUSH MALT 12YO</t>
  </si>
  <si>
    <t>BUSHMILLS 16 YEARS</t>
  </si>
  <si>
    <t>BUSHMILLS 21 YEARS</t>
  </si>
  <si>
    <t>BUSHMILLS ORIGINAL WHISKEY</t>
  </si>
  <si>
    <t>BX HIPPY ULTRA WHISKY</t>
  </si>
  <si>
    <t>CALENTER RESERVE RUM</t>
  </si>
  <si>
    <t>CAMAS CHARDONNAY WINE</t>
  </si>
  <si>
    <t>CAMAS MALBAC</t>
  </si>
  <si>
    <t>CAMAS MALBAC ROUGE BEBOUT</t>
  </si>
  <si>
    <t>CAMAS MARLOT</t>
  </si>
  <si>
    <t>CAMAS PINOT NOIR ROUGE BEBOUT</t>
  </si>
  <si>
    <t>CAMAS SYRAH ROSE</t>
  </si>
  <si>
    <t>CAMBRIDGE DRY GIN</t>
  </si>
  <si>
    <t>CAMIKARA RUM CASK 3Y AGED</t>
  </si>
  <si>
    <t>CAMPARI</t>
  </si>
  <si>
    <t>CAMPARI NEGRONI</t>
  </si>
  <si>
    <t>CAMPO VIEJO RIOJA TEMPRANILLO</t>
  </si>
  <si>
    <t>CANVAS CRANBERRY/APPLE VODKA</t>
  </si>
  <si>
    <t>CANVAS LIMONE CITRUS RUM</t>
  </si>
  <si>
    <t>CANVAS PURE VODKA</t>
  </si>
  <si>
    <t>CAOLILA 12Y ISLAY SINGLE MALT</t>
  </si>
  <si>
    <t>CAPTAIN MORGAN RUM</t>
  </si>
  <si>
    <t>CASCO SILVER</t>
  </si>
  <si>
    <t>CASHMIR VODKA</t>
  </si>
  <si>
    <t>CASH WHISKY</t>
  </si>
  <si>
    <t>CHANDON BRUT CUVEE</t>
  </si>
  <si>
    <t>CHAPOUTIER BELLERUCHE COTES/BLANC</t>
  </si>
  <si>
    <t>CHAPOUTIER DU HAPR DAPES</t>
  </si>
  <si>
    <t>CHAPOUTIER LA BERNARDINAE</t>
  </si>
  <si>
    <t>CHAPOUTIER LA BERNARDINE</t>
  </si>
  <si>
    <t>CHAPOUTIER MARIUS ROUGH</t>
  </si>
  <si>
    <t>CHEMIN DAS PAPES CHATEAUNEUF</t>
  </si>
  <si>
    <t>CHIVAS REGAL 12 YEAR</t>
  </si>
  <si>
    <t>CHIVAS REGAL 15 YEAR (4)</t>
  </si>
  <si>
    <t>CHIVAS REGAL 18 YEAR</t>
  </si>
  <si>
    <t>CHIVAS REGAL 25 YEAR</t>
  </si>
  <si>
    <t>CINZANO LIQUER</t>
  </si>
  <si>
    <t>CINZANO PROSECCO WINE</t>
  </si>
  <si>
    <t>CINZANO ROSE EDITION</t>
  </si>
  <si>
    <t>CINZANO ROSE EDTION SWEET</t>
  </si>
  <si>
    <t>CINZANO VERMOUTH ROSSO</t>
  </si>
  <si>
    <t>CIROC VODKA</t>
  </si>
  <si>
    <t>COSECHA CABERNET SAUVIGNON</t>
  </si>
  <si>
    <t>CRAFTER STAMP</t>
  </si>
  <si>
    <t>CRYSTEL HEAD VODKA</t>
  </si>
  <si>
    <t>DALWHINNIE SINGAL 15 YEAR</t>
  </si>
  <si>
    <t>DEVANS GAIN SINGLE MALT</t>
  </si>
  <si>
    <t>DEWAR 12YO BURBEN CAS</t>
  </si>
  <si>
    <t>DEWAR 18YO</t>
  </si>
  <si>
    <t>DEWAR S 12Y</t>
  </si>
  <si>
    <t>DEWAR S 15Y</t>
  </si>
  <si>
    <t>DEWARS BLENDED SCOTCH DOUBLE AGED 21 YEARS</t>
  </si>
  <si>
    <t>DEWARS BLENDED SCOTCH WHISKY DOUBLE AGED 27 Y</t>
  </si>
  <si>
    <t>DEWARS TRUE SCOTCH WHITE</t>
  </si>
  <si>
    <t>DEWARS WHITE LABEL BL SCOTCH</t>
  </si>
  <si>
    <t>DIA RED SPARKLER WINE</t>
  </si>
  <si>
    <t>DIPLOMATICO PLANS RUM</t>
  </si>
  <si>
    <t>DOAAB SINGLE MALT</t>
  </si>
  <si>
    <t>DON ANGEL TEQUILA BLANCO</t>
  </si>
  <si>
    <t>DON JUILO 1942 TEQUILA</t>
  </si>
  <si>
    <t>DON JUILO BLANCO 700</t>
  </si>
  <si>
    <t>DON JUILO REPOSADO 700</t>
  </si>
  <si>
    <t>DOWNING STREET PREM. WHISKY</t>
  </si>
  <si>
    <t>DR. ZENZEN DRY WHITE SPARKLING WINE</t>
  </si>
  <si>
    <t>DR ZENZEN PREMIUM WHITE RIESLING L</t>
  </si>
  <si>
    <t>DR.ZENZEN VINO NOIR RED WINE</t>
  </si>
  <si>
    <t>DUDIES/SHIRAZ/CABERNET/SAUVIGON</t>
  </si>
  <si>
    <t>DUOBLE BLUE CLASSIC</t>
  </si>
  <si>
    <t>DYAVOL SINGLE ESTATE VODKA</t>
  </si>
  <si>
    <t>EDEN BLENDED MALT WHISKY</t>
  </si>
  <si>
    <t>EL CHARRO TQUILA</t>
  </si>
  <si>
    <t>ELIT VODKA</t>
  </si>
  <si>
    <t>ENSO RESERVE JAPANESE WHISKY</t>
  </si>
  <si>
    <t>EVAN WILLIAMS BLACK BOURBON WHISKY</t>
  </si>
  <si>
    <t>FAIRVIEWS GOATS DO ROAM RED/WHITE WINE</t>
  </si>
  <si>
    <t>FOX SAUVIGNON BLANC</t>
  </si>
  <si>
    <t>FRATELLI CABERNET FRANC SHIRAZ</t>
  </si>
  <si>
    <t>FRATELLI CABERNET FRANC SHIRAZ / SAUVIG</t>
  </si>
  <si>
    <t>FRATELLI CABERNET FRANC SHIRAZ/ SAUVIGNONM</t>
  </si>
  <si>
    <t>FRATELLI CABERNET SAUVUGNON RED</t>
  </si>
  <si>
    <t>FRATELLI CHARDONNARY WHITE</t>
  </si>
  <si>
    <t>FRATELLI CLASSIC CHENIN BLANC</t>
  </si>
  <si>
    <t>FRATELLI CLASSIC CHENIN WHITE / RED</t>
  </si>
  <si>
    <t>FRATELLI CLASSIC MERLOT</t>
  </si>
  <si>
    <t>FRATELLI CLASSIC MERLOT/CHENIN BLANC</t>
  </si>
  <si>
    <t>FRATELLI CLASSIC MERLOT/CHENIN SHIRAZ</t>
  </si>
  <si>
    <t>FRATELLI/CLASSIC /SHIRAJ RED</t>
  </si>
  <si>
    <t>FRATELLI GRAIN BRUT</t>
  </si>
  <si>
    <t>FRATELLI MASTER M/S</t>
  </si>
  <si>
    <t>FRATELLI MERLOT/SANGIOVESE RED WINE</t>
  </si>
  <si>
    <t>FRATELLI MERLOT/SAVGIOVESE RED</t>
  </si>
  <si>
    <t>FRATELLI MS SANGIOVESE ROSE</t>
  </si>
  <si>
    <t>FRATELLI PINOT NOIR</t>
  </si>
  <si>
    <t>FRATELLI SAVVIGNON/BLANC</t>
  </si>
  <si>
    <t>FRATELLI SAVVIGNON/BLANC WHITE</t>
  </si>
  <si>
    <t>FRATELLI SETTE RED</t>
  </si>
  <si>
    <t>FRATELLI SHIRAZ ROSE /M</t>
  </si>
  <si>
    <t>FRATELLI ZIVA RED/WHITE WINE</t>
  </si>
  <si>
    <t>FRATELLI ZIVA ROSE WINE</t>
  </si>
  <si>
    <t>FREIXENET CORDON NEGRO</t>
  </si>
  <si>
    <t>GAICONDI MERLOT / CHARDONNAY</t>
  </si>
  <si>
    <t>GENTLEMAN JACK</t>
  </si>
  <si>
    <t>GIN MG ORANGE</t>
  </si>
  <si>
    <t>GIN MG SP</t>
  </si>
  <si>
    <t>GLEN FIDDICH 12 YEAR</t>
  </si>
  <si>
    <t>GLEN FIDDICH 15 YEAR</t>
  </si>
  <si>
    <t>GLENFIDDICH GRANDE COURNNE 26YEAR</t>
  </si>
  <si>
    <t>GLEN FIDDICH SINGLE MALT 18 YEAR OLD</t>
  </si>
  <si>
    <t>GLEN FIDDICH SINGLE MALT 21Y</t>
  </si>
  <si>
    <t>GLEN GRANT 10 YO</t>
  </si>
  <si>
    <t>GLEN GRANT 12 YO</t>
  </si>
  <si>
    <t>GLEN GRANT SINGLE MALT 18YEARS</t>
  </si>
  <si>
    <t>GLENKINCHIE 12 YO</t>
  </si>
  <si>
    <t>GLENLIVET 12 YEAR MALT SCOTCH</t>
  </si>
  <si>
    <t>GLENLIVET 15 YEAR MALT SCOTCH</t>
  </si>
  <si>
    <t>GLENLIVET 18Y MALT SCOTCH 700 6 PCS</t>
  </si>
  <si>
    <t>GLENLIVET CARIBBEAN RESERVE SINGLE MALT</t>
  </si>
  <si>
    <t>GLENLIVET SINGLE MALT12Y</t>
  </si>
  <si>
    <t>GLENMORANGIE 10 YO</t>
  </si>
  <si>
    <t>GLENMORANGIE 12 YO</t>
  </si>
  <si>
    <t>GLENMORANGIE LASANTA</t>
  </si>
  <si>
    <t>GODAWAN SINGLE MALT RICH/FRUIT</t>
  </si>
  <si>
    <t>GOLDEN CIRCLE WHISKY</t>
  </si>
  <si>
    <t>GOLDEN OAK BARREL WHISKY</t>
  </si>
  <si>
    <t>GOLDEN SPARROW PINOT</t>
  </si>
  <si>
    <t>GOLDEN SPARROW SANGIOVESE</t>
  </si>
  <si>
    <t>GOLFERS SHOT 18 BLENDED WHISKY</t>
  </si>
  <si>
    <t>GOLFERS SHOT WHISKY</t>
  </si>
  <si>
    <t>GR8 TIMES PREMIUM GREEN APPLE/ WHISKY</t>
  </si>
  <si>
    <t>GRANTS DISTINCTION</t>
  </si>
  <si>
    <t>GRANTS FAMILY RESERVE</t>
  </si>
  <si>
    <t>GRANTS TRIPLE WOOD</t>
  </si>
  <si>
    <t>GREATER THAN LONDON DRY</t>
  </si>
  <si>
    <t>GREY GROOSE VODKA</t>
  </si>
  <si>
    <t>GUNPOWDER IRISH GIN</t>
  </si>
  <si>
    <t>HAPUSA HIMALAYAN DRY GIN</t>
  </si>
  <si>
    <t>HARDY STAMP OF AUS CAB MERLOT</t>
  </si>
  <si>
    <t>HAVANA CLUB 7 YEARS RUM</t>
  </si>
  <si>
    <t>HAWKSTON NOBLE RES WHISKY</t>
  </si>
  <si>
    <t>HAWKSTON NOBLE RED WHISKY</t>
  </si>
  <si>
    <t>HENDRICK'S FLORA ADORA GIN</t>
  </si>
  <si>
    <t>HENDRICK'S GIN</t>
  </si>
  <si>
    <t>HENKELL SPARKLING</t>
  </si>
  <si>
    <t>HENNESSY VS COGNAC</t>
  </si>
  <si>
    <t>HENNESSY VSOP</t>
  </si>
  <si>
    <t>HENNESSY XO</t>
  </si>
  <si>
    <t>HERMOSA ROSE/CHARDONNAY/MERLOT//BLANC</t>
  </si>
  <si>
    <t>HIBIKI JAPANESE HARMONY WHISKY</t>
  </si>
  <si>
    <t>HIGHLAND PARK SINGLE MALT 12Y</t>
  </si>
  <si>
    <t>HIGHLAND PARK SINGLE MALT 15Y</t>
  </si>
  <si>
    <t>HIGHLAND QUEEN 1561 BLEN. 30Y</t>
  </si>
  <si>
    <t>HIGHLAND QUEEN MAJESTY SINGLE MALT SCOTHCH</t>
  </si>
  <si>
    <t>HILLFORD PREMIUM WHISKY</t>
  </si>
  <si>
    <t>I BLUE PREMIER GRAIN WHISKY</t>
  </si>
  <si>
    <t>ICONIQ WHITE DELUXE WHISKY</t>
  </si>
  <si>
    <t>IGL BUNTY</t>
  </si>
  <si>
    <t>I HEART PINOT NOIR</t>
  </si>
  <si>
    <t>INDRI MALT WHISKY HOUSE OF BLACK/GRE</t>
  </si>
  <si>
    <t>INDRI SINGLE MALT INDIAN WHISKY AGNEYA</t>
  </si>
  <si>
    <t>INDRI SINGLEMALT WHISKY</t>
  </si>
  <si>
    <t>INNATE RESERVE 9 BARREL WHISKY</t>
  </si>
  <si>
    <t>IQ LONDON DRY</t>
  </si>
  <si>
    <t>I.Q. LONDON DRY GIN</t>
  </si>
  <si>
    <t>IRISHMAN SINGHAL MALT 700</t>
  </si>
  <si>
    <t>IRISHMAN THE HARVEST IRISH WHISKY</t>
  </si>
  <si>
    <t>J'NOON INDIA RED WINE</t>
  </si>
  <si>
    <t>JACK DANIEL'S TENNESSEE HONEY SMOOTH</t>
  </si>
  <si>
    <t>JACK DANIEL HONEY/FIRE</t>
  </si>
  <si>
    <t>JACK DANIEL OLD7</t>
  </si>
  <si>
    <t>JACK DANIEL OLD7/HONEY/FIRE</t>
  </si>
  <si>
    <t>JACK DANIEL QUALITY</t>
  </si>
  <si>
    <t>JACK DANIELS SINGLE BARREL SELECT</t>
  </si>
  <si>
    <t>JACK DANIEL TANNESSEE APPLE</t>
  </si>
  <si>
    <t>JACOB'S CREEK CHARDONNAY WINE</t>
  </si>
  <si>
    <t>JACOB'S CREEK SHIRAZ CARBENET</t>
  </si>
  <si>
    <t>JACOBS CREEK CHARDO. PIN NOIR</t>
  </si>
  <si>
    <t>JACOB`S CREEK CLASSIC MERLOT</t>
  </si>
  <si>
    <t>JAGERMEISTER</t>
  </si>
  <si>
    <t>JAGERMESTER LIMITE EDIT LIQUOR FLAVOUR</t>
  </si>
  <si>
    <t>JAGERMIESTER RETRO</t>
  </si>
  <si>
    <t>JAISALMARE GIN GOLD</t>
  </si>
  <si>
    <t>JAISALMER INDIAN CRAFT</t>
  </si>
  <si>
    <t>JAMESON BLACK BARREL WHISKY</t>
  </si>
  <si>
    <t>JAMESON IRISH CASKMATES WHISKY</t>
  </si>
  <si>
    <t>JAMESON IRISH WHISKY</t>
  </si>
  <si>
    <t>JAMUN HIMALAYAN GIN</t>
  </si>
  <si>
    <t>J &amp; B RARE</t>
  </si>
  <si>
    <t>JD OLD NO 7 TENNESSEE SOUR MARSH</t>
  </si>
  <si>
    <t>JIM BEAM BOURBON WHY</t>
  </si>
  <si>
    <t>JIM BEAM HONEY/ORANGE</t>
  </si>
  <si>
    <t>JIM BEAM WHITE WHY</t>
  </si>
  <si>
    <t>JINRO CHAMISUL SOJU WINE</t>
  </si>
  <si>
    <t>JINRO GREEN GRAPE/FRUIT SOJU WINE</t>
  </si>
  <si>
    <t>JODHPUR GIN</t>
  </si>
  <si>
    <t>JOHNSTON SHIRAZ WINE</t>
  </si>
  <si>
    <t>JOSE CUERVO REPOSADO TAQUILA</t>
  </si>
  <si>
    <t>JOSE CUERVO SILVER</t>
  </si>
  <si>
    <t>JURA 10Y</t>
  </si>
  <si>
    <t>JURA 12Y OLD SINGLE MALT SCOTCH</t>
  </si>
  <si>
    <t>JURA 18Y OLD</t>
  </si>
  <si>
    <t>JUSTERINI &amp; BROOKS RARE (J&amp;B)</t>
  </si>
  <si>
    <t>JW 18Y OLD</t>
  </si>
  <si>
    <t>JW BLACK 12Y</t>
  </si>
  <si>
    <t>JW BLACK LABEL</t>
  </si>
  <si>
    <t>J/W BLONDE BLEND</t>
  </si>
  <si>
    <t>JW BLUE LABEL</t>
  </si>
  <si>
    <t>J W BLUE LABLE (CITY X MARS)1 PCS</t>
  </si>
  <si>
    <t>J W BLUE LABLE (LONDON)1 PCS</t>
  </si>
  <si>
    <t>JW DOUBLE BLACK S/W</t>
  </si>
  <si>
    <t>JW GOLD LABEL RESERVE</t>
  </si>
  <si>
    <t>JW RED LABEL</t>
  </si>
  <si>
    <t>J/W ULTIMATE 18 YEARS</t>
  </si>
  <si>
    <t>KAHLUA COFEE LIQUEUR</t>
  </si>
  <si>
    <t>KETEL ONE</t>
  </si>
  <si>
    <t>KILBURN WHISKEY</t>
  </si>
  <si>
    <t>KNUT HANSEN DRY GIN</t>
  </si>
  <si>
    <t>KOHINOOR RUM</t>
  </si>
  <si>
    <t>K.R PREM GREEN APPLE VODKA</t>
  </si>
  <si>
    <t>LAGAVULIN ISLAY SINGLE SCH WSY</t>
  </si>
  <si>
    <t>LAPHROAIG 10 Y</t>
  </si>
  <si>
    <t>LA ROCCA VINO ROSO/BLANCO</t>
  </si>
  <si>
    <t>LEGANCY BLENDED WHISKY</t>
  </si>
  <si>
    <t>LE GRAND NOIR CAB SAU</t>
  </si>
  <si>
    <t>LIFT UP G. APPLE</t>
  </si>
  <si>
    <t>LIFT UP VODKA</t>
  </si>
  <si>
    <t>LINDEMANS CAWARRA CHARDONNAY</t>
  </si>
  <si>
    <t>LINDEMANS CAWARRA SHIRAZ CABERNET</t>
  </si>
  <si>
    <t>LINDEMANS PREMIER SELECTION BRUT CUVEE</t>
  </si>
  <si>
    <t>LINDEMANS PREMIER SHIRAZ CABERNET</t>
  </si>
  <si>
    <t>LINDMANS PRE. SELECTION CHARDONNAY</t>
  </si>
  <si>
    <t>LINDMANS PRE. SHIRAZ CABERNET</t>
  </si>
  <si>
    <t>LION DADDY RUM</t>
  </si>
  <si>
    <t>LOC XXX RUM</t>
  </si>
  <si>
    <t>LONDON GREEN APPLE</t>
  </si>
  <si>
    <t>LONDON HIGH RICH APPLE VODKA</t>
  </si>
  <si>
    <t>LONDON HIGH RICH VODKA</t>
  </si>
  <si>
    <t>LONDON HIGH VODKA</t>
  </si>
  <si>
    <t>LONGITUDE 77</t>
  </si>
  <si>
    <t>LUCIFRES GOLD</t>
  </si>
  <si>
    <t>M2 DAZZLE VANILLA VODKA</t>
  </si>
  <si>
    <t>MADERA NASHIK VALLEY RED WINE</t>
  </si>
  <si>
    <t>MAQINTOSH SILVER EDITION WHISHKY</t>
  </si>
  <si>
    <t>MARTELL VS COGNAC</t>
  </si>
  <si>
    <t>MATEUS ROSE</t>
  </si>
  <si>
    <t>MATSYA TRIPLE RESERVE</t>
  </si>
  <si>
    <t>MCD NO.1 LUXURY</t>
  </si>
  <si>
    <t>MCDOWELL'S NO.-1 SUPERIOR WHISKY</t>
  </si>
  <si>
    <t>MCDOWELL'S PREMIUM CITRON RUM</t>
  </si>
  <si>
    <t>MCDOWELL'S PREMIUM DARK RUM</t>
  </si>
  <si>
    <t>MCDOWELL'S PREMIUM VODKA</t>
  </si>
  <si>
    <t>MCDOWELLS PRE FLAVOUR VODKA</t>
  </si>
  <si>
    <t>MCDOWELLS PREMIUM DRY GIN</t>
  </si>
  <si>
    <t>MEUKOW LIQUEUR VANILLA</t>
  </si>
  <si>
    <t>M M JAMUN VODKA</t>
  </si>
  <si>
    <t>M M VERVE VODKA</t>
  </si>
  <si>
    <t>M M VERVE VODKA APPLE/ORANCE</t>
  </si>
  <si>
    <t>M M VODKA</t>
  </si>
  <si>
    <t>M M VODKA APPLE/ORANCE</t>
  </si>
  <si>
    <t>MOET &amp; CHANDAN ROSE</t>
  </si>
  <si>
    <t>MOET &amp; CHANDON IMPERIAL BRUT</t>
  </si>
  <si>
    <t>MOET &amp; CHANDON ROSE IMPERIAL</t>
  </si>
  <si>
    <t>MONKEY 47 DRY GIN</t>
  </si>
  <si>
    <t>MONKEY SHOULDER</t>
  </si>
  <si>
    <t>MONTE PACIFICO MERLOT/ CHARDONNAY WINE</t>
  </si>
  <si>
    <t>MOON SHINE WINE</t>
  </si>
  <si>
    <t>MOON WALK FLAVOUR</t>
  </si>
  <si>
    <t>MOON WALK G.APPLE/ORANGE</t>
  </si>
  <si>
    <t>MORPHEUS BLUE BRANDY</t>
  </si>
  <si>
    <t>MORPHEUS RARE LUXURY WHISKY</t>
  </si>
  <si>
    <t>MORPHEUS XO BRANDY</t>
  </si>
  <si>
    <t>MOUNTAIN OAK CITRUS RUM LEMON</t>
  </si>
  <si>
    <t>MOUNTAIN OAK DARK RUM</t>
  </si>
  <si>
    <t>MOUNTAIN OAK SALECT</t>
  </si>
  <si>
    <t>MYTHIC MOUNTAIN MALBECK/CHARDONNAY</t>
  </si>
  <si>
    <t>NAUTILUS XO BRANDY</t>
  </si>
  <si>
    <t>NEMIROFF DE LUXE</t>
  </si>
  <si>
    <t>NICOBAR INDIAN DRY JIN</t>
  </si>
  <si>
    <t>NIGHT UP PR. BLENDED WHISKY</t>
  </si>
  <si>
    <t>NOI SPARKING ROSE</t>
  </si>
  <si>
    <t>NOI SPARKING WINE</t>
  </si>
  <si>
    <t>NOI SPRITZER CLASSICO</t>
  </si>
  <si>
    <t>OAKEN GLOW</t>
  </si>
  <si>
    <t>OAKSHMITH GOLD</t>
  </si>
  <si>
    <t>OAKSHMITH INTERNATIONAL</t>
  </si>
  <si>
    <t>OAKWOOD CREEK WHISKY</t>
  </si>
  <si>
    <t>OC BLUE GRAIN WHISKY</t>
  </si>
  <si>
    <t>OC ORIGINAL WHISKY</t>
  </si>
  <si>
    <t>OLD FOX RUM</t>
  </si>
  <si>
    <t>OLD MONK AMBER MELLOW &amp; MATURED RUM</t>
  </si>
  <si>
    <t>OLD MONK COFEE EXTRA</t>
  </si>
  <si>
    <t>OLD MONK GOLD RUM</t>
  </si>
  <si>
    <t>OLD MONK LEGEND RUM</t>
  </si>
  <si>
    <t>OLD MONK LEMON RUM</t>
  </si>
  <si>
    <t>OLD MONK SPICED RUM</t>
  </si>
  <si>
    <t>OLD MONK SUPREME RUM</t>
  </si>
  <si>
    <t>OLD MONK WHITE RUM</t>
  </si>
  <si>
    <t>OLD MONK XXX SELECT RUM</t>
  </si>
  <si>
    <t>ONE MORE APPLE/ORANGE</t>
  </si>
  <si>
    <t>ONE MORE CRAFT VODKA</t>
  </si>
  <si>
    <t>ONE MORE NEXT CRANBERRY</t>
  </si>
  <si>
    <t>OPM CANBERRY WHISKY</t>
  </si>
  <si>
    <t>OPM TRIPLE VODKA</t>
  </si>
  <si>
    <t>OPRAHI CABERNET MERLOT</t>
  </si>
  <si>
    <t>OPRAHI CEBERNET MERLOT WINE</t>
  </si>
  <si>
    <t>OPRAHI PINOT CHARDONNAY WINE</t>
  </si>
  <si>
    <t>OUTBACK JACK CAVERNET MARLOT</t>
  </si>
  <si>
    <t>OUTBACK JACK CHARDONNAY</t>
  </si>
  <si>
    <t>PASSPORT BLENDED WHISKY</t>
  </si>
  <si>
    <t>PATRON ANEJO</t>
  </si>
  <si>
    <t>PATRON REPOSADO</t>
  </si>
  <si>
    <t>PATRON REPOSADO TEQUILA</t>
  </si>
  <si>
    <t>PATRON SILVER</t>
  </si>
  <si>
    <t>PAUL JOHN INDIAN SINGLE MALT WHI NIRVANA</t>
  </si>
  <si>
    <t>PAUL JOHN INDIAN SINGLE MALT WHISKY</t>
  </si>
  <si>
    <t>PELICAN SOUL PINOTAGE</t>
  </si>
  <si>
    <t>PENFOLDS KOONUNGA HILL CHARDONNAY</t>
  </si>
  <si>
    <t>POISON BLACN/ ROUGH WINE</t>
  </si>
  <si>
    <t>POLO GRAIN WHISKY</t>
  </si>
  <si>
    <t>PONSON ROUEL</t>
  </si>
  <si>
    <t>PORT SIDE</t>
  </si>
  <si>
    <t>PUNTER /DAMSO SOJU</t>
  </si>
  <si>
    <t>RAFFLES GREEN APPLE VODKA</t>
  </si>
  <si>
    <t>RASA SYRAH RED WINE</t>
  </si>
  <si>
    <t>R CHALLENGE</t>
  </si>
  <si>
    <t>R CHALLENGE (AMERICAN)</t>
  </si>
  <si>
    <t>R CHALLENGE CLASSIC PREMIUM WHISKY</t>
  </si>
  <si>
    <t>R CHALLENGE PLAY WHISKY</t>
  </si>
  <si>
    <t>RED RUSSIAN VODKA/APPLE</t>
  </si>
  <si>
    <t>REMY MARTIN COGNAC VSOP</t>
  </si>
  <si>
    <t>R GREEN CLASSIC BLENDED WHY</t>
  </si>
  <si>
    <t>RIO GOLD</t>
  </si>
  <si>
    <t>RIPS ROYAL SUP GRAIN WHISKY</t>
  </si>
  <si>
    <t>RISMALT WHY (8510) (RAMPUR) 6 PCS</t>
  </si>
  <si>
    <t>ROCKCLIMBER CRAFTED RESERVE/ELITE WINE</t>
  </si>
  <si>
    <t>ROCKFORD CLASSIC WHISKHY</t>
  </si>
  <si>
    <t>ROCKFORD IMPERIAL RESERVE</t>
  </si>
  <si>
    <t>ROCKFORD RESERVE WHISKY</t>
  </si>
  <si>
    <t>ROKU GIN</t>
  </si>
  <si>
    <t>ROMANOV APPLE VODKA</t>
  </si>
  <si>
    <t>RON PIET XO RUM (1PCS)</t>
  </si>
  <si>
    <t>ROULETTE UNPEATED PREMIUM WHISKY</t>
  </si>
  <si>
    <t>ROYAL BLACK RESERVE WHISKY</t>
  </si>
  <si>
    <t>ROYAL BRIGADE WHISKY</t>
  </si>
  <si>
    <t>ROYAL SAINTA EMILION</t>
  </si>
  <si>
    <t>ROYAL SALUTE SCOTCH WHISKY</t>
  </si>
  <si>
    <t>ROYAL TRIPLE WHISKY</t>
  </si>
  <si>
    <t>R. RANTHAMBORE RARE WHISKY</t>
  </si>
  <si>
    <t>R STAG BARREL WHISKY</t>
  </si>
  <si>
    <t>R STAG DARK WHISKY</t>
  </si>
  <si>
    <t>R STAG SUPERIOR WHISKY</t>
  </si>
  <si>
    <t>RYE OLD HUNTERS RESERVE</t>
  </si>
  <si>
    <t>RYE STARA MYSLIVECKA 1 Y</t>
  </si>
  <si>
    <t>RYE STARA MYSLIVECKA</t>
  </si>
  <si>
    <t>RYE STARAMYSLIVECKA</t>
  </si>
  <si>
    <t>RYE STARAMYSLIVECKA RESERVE</t>
  </si>
  <si>
    <t>SAINT REMY VSOP BRANDY</t>
  </si>
  <si>
    <t>SAINT REMY XO</t>
  </si>
  <si>
    <t>SAMARA RED</t>
  </si>
  <si>
    <t>SAMARA WHITE WINE</t>
  </si>
  <si>
    <t>SANGAM MALT WHISKY</t>
  </si>
  <si>
    <t>SANGRE DE TORO</t>
  </si>
  <si>
    <t>SCHWARTZHOG KRAUTER LIQUEUR</t>
  </si>
  <si>
    <t>SCOTS CHOICE BLENDED WHISKY</t>
  </si>
  <si>
    <t>SCOTTISH LEADER SCOTCH WHISKEY</t>
  </si>
  <si>
    <t>SENORITA ANGEL SHIRAZ (AUS)</t>
  </si>
  <si>
    <t>SENORITA CABERNET SAUVIGNON</t>
  </si>
  <si>
    <t>SENORITA CHARDONNAY WINE</t>
  </si>
  <si>
    <t>SENORITA MASELLE RIESLING QBA HAIB</t>
  </si>
  <si>
    <t>SENORITA MERLOT WINE</t>
  </si>
  <si>
    <t>SEVENTH HAEVEN WHISKY</t>
  </si>
  <si>
    <t>SHANKY'S WHIP BLACK IRISH (1PCS)</t>
  </si>
  <si>
    <t>SHORTWOOD ROSE/CHARDONNAY WINE</t>
  </si>
  <si>
    <t>SHOTGUN STRONG BEER</t>
  </si>
  <si>
    <t>SIDUS PREMIUM RED WINE</t>
  </si>
  <si>
    <t>SIGNATURE PREMIER GRAIN WHISKY</t>
  </si>
  <si>
    <t>SIGNATURES RARE AGED WHISKY</t>
  </si>
  <si>
    <t>SIKKIM XXX PRIZE GOLD RUM</t>
  </si>
  <si>
    <t>SINGHASAN FINEST BLENDED</t>
  </si>
  <si>
    <t>SKINNY WITCH PROSECCO BRUT</t>
  </si>
  <si>
    <t>SKINNY WITCH PROSECCO ROSE</t>
  </si>
  <si>
    <t>SKULL X PLATINUM FILTERD VODKA</t>
  </si>
  <si>
    <t>SKY SHOTS SUPERNOVA</t>
  </si>
  <si>
    <t>SKYY VODKA</t>
  </si>
  <si>
    <t>SMIRNOFF FLAVOUR TRIPLE DISTILLED VODKA</t>
  </si>
  <si>
    <t>SMIRNOFF TRIPLE DISTILLED VODKA</t>
  </si>
  <si>
    <t>SMOKE VODKA CLASSIC</t>
  </si>
  <si>
    <t>SNOSKI FINE CRAFTED VODKA</t>
  </si>
  <si>
    <t>SNOSKI FINE GREEN APPLE</t>
  </si>
  <si>
    <t>SOLAN GOLD INDIAN SINGLE MALT</t>
  </si>
  <si>
    <t>SOLDEPENAS TEMPRANILLO GAMACHA(1)</t>
  </si>
  <si>
    <t>SOMETHING SPECIAL SCOCTCH</t>
  </si>
  <si>
    <t>SOULAMTE BLUE WHISKY</t>
  </si>
  <si>
    <t>SOULMATE SOPERIOR WHISKY</t>
  </si>
  <si>
    <t>SOV 1965 RUM</t>
  </si>
  <si>
    <t>SPIRIT OF VICTORY 1999 MALT WHY</t>
  </si>
  <si>
    <t>SRISHTI SELECT COLLECTION FINEST WHISKY</t>
  </si>
  <si>
    <t>STAINLY LUXURY WHISKY</t>
  </si>
  <si>
    <t>STAR WALKER WHISKY</t>
  </si>
  <si>
    <t>STERLING RESERVE BX HIPPY WHISKY</t>
  </si>
  <si>
    <t>STOLI GOLD PREMIUM VODKA</t>
  </si>
  <si>
    <t>SULA BRUT METHODE TRADIOTIONELLE</t>
  </si>
  <si>
    <t>SULA CHENIN BLANC</t>
  </si>
  <si>
    <t>SULA DINDORI RESERVE CHARDONARY WHITE</t>
  </si>
  <si>
    <t>SULA DINDORI RESERVE SHIRAZ RED</t>
  </si>
  <si>
    <t>SULA NASIK PORT GOLD WINE</t>
  </si>
  <si>
    <t>SULA SATORI TEMPRANILLO RED</t>
  </si>
  <si>
    <t>SULA SECO METHODE CLASSIQUE</t>
  </si>
  <si>
    <t>SULA SECO WHITE</t>
  </si>
  <si>
    <t>SULA TROPICAL ROSE</t>
  </si>
  <si>
    <t>SULA VINEYARDS CHENIN BLANC WHITE</t>
  </si>
  <si>
    <t>SULA VINEYARDS RIESLING WHITE</t>
  </si>
  <si>
    <t>SULA VINEYARDS SAUVIGNON BLANC WHITE</t>
  </si>
  <si>
    <t>SULA VINEYARDS SHIRAZ CABERNET RED</t>
  </si>
  <si>
    <t>SULA VINEYARDS ZINFANDEL</t>
  </si>
  <si>
    <t>SULA ZINFANDEL RED</t>
  </si>
  <si>
    <t>SULA ZINFANDEL ROSE</t>
  </si>
  <si>
    <t>SUNTORY WHISKY TOKI</t>
  </si>
  <si>
    <t>TALISKAR SINGLE MALT WHISKY</t>
  </si>
  <si>
    <t>TALISKER 10Y</t>
  </si>
  <si>
    <t>TANQUERAY RANGPUR LIME GIN</t>
  </si>
  <si>
    <t>TANQUERY LON DRY GIN</t>
  </si>
  <si>
    <t>TAQUILA RESERVA 0 ANEJO 100%</t>
  </si>
  <si>
    <t>TARAI INDIA DRY GIN</t>
  </si>
  <si>
    <t>TARAI LITCHUS&amp;MULBERRES</t>
  </si>
  <si>
    <t>TEACHERS 50 BLENDED SCOTCH</t>
  </si>
  <si>
    <t>TEACHERS GOLDEN THISTLE SCOTCH</t>
  </si>
  <si>
    <t>TEACHERS HIGH LAND CREAM</t>
  </si>
  <si>
    <t>TEACHERS HIGHLAND CREAM SCOTCH</t>
  </si>
  <si>
    <t>TEACHERS RESERVE BLENDED SCOTCH WHISKY</t>
  </si>
  <si>
    <t>TEQUILA CAMINO REAL BLANCO</t>
  </si>
  <si>
    <t>TERAI INDIA CRAFT VODKA</t>
  </si>
  <si>
    <t>TERROIR DARONTON CHATEAUNEUF ROUG</t>
  </si>
  <si>
    <t>THE ARDMORE 12 YEARS</t>
  </si>
  <si>
    <t>THE ARDMORE SINGEL MALT SCOTCH WHISKY</t>
  </si>
  <si>
    <t>THE DALMORE 12YO SINGLE MALT</t>
  </si>
  <si>
    <t>THE DALMORE PORT WOOD</t>
  </si>
  <si>
    <t>THE DROVER CHARDONNY</t>
  </si>
  <si>
    <t>THE DROVER MERLOT/ PINOT GRIGIO</t>
  </si>
  <si>
    <t>THE DROVER SHIRAZ</t>
  </si>
  <si>
    <t>THE FAMOUS GROUSE</t>
  </si>
  <si>
    <t>THE GLEN GRANT ARBORALS</t>
  </si>
  <si>
    <t>THE GLENWALK BLEND SCOTCH WHSKY</t>
  </si>
  <si>
    <t>THE IRISHMAN SINGLE MALT</t>
  </si>
  <si>
    <t>THE MACALLAN 12Y DOUBLE CASK WHISKY</t>
  </si>
  <si>
    <t>THE MACALLAN 12Y TRIPLE CASK WHISKY</t>
  </si>
  <si>
    <t>THE MACALLAN 15Y TRIPLE CASK SCO. WHI</t>
  </si>
  <si>
    <t>THE MACALLAN 18Y TRIPLE CASK SCO. WHI</t>
  </si>
  <si>
    <t>THE SINGLETON 12Y</t>
  </si>
  <si>
    <t>THE SINGLETONE 15 Y</t>
  </si>
  <si>
    <t>THE SINGLETONE 18 Y</t>
  </si>
  <si>
    <t>THE SOURCE CAVERNET SAVIGNON WINE</t>
  </si>
  <si>
    <t>THE SOURCE GRENACHE ROSE WINE</t>
  </si>
  <si>
    <t>THE SPRIT OF KASHMYR INDIAN NATURAL VODKA</t>
  </si>
  <si>
    <t>THE SPRIT OF KASHMYR INDIAN SAFFRON VODKA</t>
  </si>
  <si>
    <t>TI AMO PROSECCO BRUT</t>
  </si>
  <si>
    <t>TI AMO SARTORI</t>
  </si>
  <si>
    <t>TILT BUBBLY ROSE</t>
  </si>
  <si>
    <t>TILT RED/WHITE</t>
  </si>
  <si>
    <t>TITOS HANDMADE VODKA</t>
  </si>
  <si>
    <t>UJVA CHARDONNAY WINE</t>
  </si>
  <si>
    <t>UJVA PINOTAGE RESERVE WINE</t>
  </si>
  <si>
    <t>UJVA SHIRAZ</t>
  </si>
  <si>
    <t>UJVA UKUKLEKA CAPE WINE</t>
  </si>
  <si>
    <t>VAT 69 BLENDED SCOTCH WHISKY</t>
  </si>
  <si>
    <t>VECCHIA RAMGNA CLASSICA BRANDY</t>
  </si>
  <si>
    <t>VENTISQUERO CLASICO CABERNET SAUVIGNON</t>
  </si>
  <si>
    <t>VERANZA BLANCO/TINTO</t>
  </si>
  <si>
    <t>VERY OLD VATED OLD MONK RUM</t>
  </si>
  <si>
    <t>VINA POMAL RESERVA</t>
  </si>
  <si>
    <t>VINA PORMAL CRIANZA</t>
  </si>
  <si>
    <t>VINA TARAPACA CABERNET SAUVIGNON</t>
  </si>
  <si>
    <t>VIN GREEN LABEL BLEND WHISKY</t>
  </si>
  <si>
    <t>VODKA RUSSIAN STANDARD</t>
  </si>
  <si>
    <t>W CRAFT WHISKY</t>
  </si>
  <si>
    <t>WENT VINAYARD MORNING FOG CHANRDONNY</t>
  </si>
  <si>
    <t>WHISTLER BARREL BLENDED MALT WHISKY</t>
  </si>
  <si>
    <t>WHITE &amp; BLUE WHISKY</t>
  </si>
  <si>
    <t>WILD TURKEY WINE</t>
  </si>
  <si>
    <t>WINGMAN BLENDED MALT WHISKY</t>
  </si>
  <si>
    <t>WOODBURN CONTEMPORARY WHISKY</t>
  </si>
  <si>
    <t>WOODFORD RESERVE</t>
  </si>
  <si>
    <t>WOOD NOTE RESERVE WHISKY</t>
  </si>
  <si>
    <t>WRITERS TEARS COPPER POT</t>
  </si>
  <si>
    <t>WRITERS TEARS DOUBLE OAK</t>
  </si>
  <si>
    <t>XCLAMATION PREMIER GIN</t>
  </si>
  <si>
    <t>XCLAMATION PREMIER RUM</t>
  </si>
  <si>
    <t>XCLAMATION PREMIER VODKA</t>
  </si>
  <si>
    <t>XCLAMATION PREMIER WHISKY</t>
  </si>
  <si>
    <t>X&amp;O BARREL WHISKEY</t>
  </si>
  <si>
    <t>YAMAZAKI DISTILLER RESERVE</t>
  </si>
  <si>
    <t>YELLOW TAIL CABERNET</t>
  </si>
  <si>
    <t>YELLOW TAIL MASCATO/SHIRAZ</t>
  </si>
  <si>
    <t>YELLOW TAIL RED\PINK MASCATO/SHIRAZ</t>
  </si>
  <si>
    <t>ZOYA LUXURY GIN</t>
  </si>
  <si>
    <t>ZOYA WATERMELON GIN</t>
  </si>
  <si>
    <t>ZUMBA BLACK SPICED RUM</t>
  </si>
  <si>
    <t>ZUMBA LEMONI RUM</t>
  </si>
  <si>
    <t>AMSTEL BEER GRANDE ROYALE</t>
  </si>
  <si>
    <t>AMSTEL LIGHT BEER</t>
  </si>
  <si>
    <t>BAD MONKEY WILD STRONG BEER</t>
  </si>
  <si>
    <t>B BREEZER BLUEBERRY/MANGO</t>
  </si>
  <si>
    <t>B BREEZER FLAV. BEER 275 8%</t>
  </si>
  <si>
    <t>BIA SAIGON LAGER</t>
  </si>
  <si>
    <t>BIG BRO BLANCO</t>
  </si>
  <si>
    <t>BIRA 91 PLUS STRONG BEER</t>
  </si>
  <si>
    <t>BIRA BLONDE / LIGHT</t>
  </si>
  <si>
    <t>BIRA CRISP RISE RICE STRONG BEER</t>
  </si>
  <si>
    <t>BIRA GOLD STRONG BEER</t>
  </si>
  <si>
    <t>BIRA LIGHT BEER</t>
  </si>
  <si>
    <t>BIRA WHITE ALE</t>
  </si>
  <si>
    <t>BIRA WHITE ALE/INDIAN/MALABAR</t>
  </si>
  <si>
    <t>BIRRA MORETTI BEER</t>
  </si>
  <si>
    <t>BLACK PEARL STORNG BEER</t>
  </si>
  <si>
    <t>BRO CODE EL CLASSIC</t>
  </si>
  <si>
    <t>BRO RED CLARET</t>
  </si>
  <si>
    <t>BROSE BUZZ BRUT ROSE</t>
  </si>
  <si>
    <t>BUDWISER MAGNUM BEER</t>
  </si>
  <si>
    <t>BUDWISER MAGNUM INTERNATIONAL BEER</t>
  </si>
  <si>
    <t>BUDWISER PREMIUM LAGER</t>
  </si>
  <si>
    <t>BUHO STRONG</t>
  </si>
  <si>
    <t>BUHO WITBIER</t>
  </si>
  <si>
    <t>CAMPAI WIT/STRONG</t>
  </si>
  <si>
    <t>CARIB STRONG BEER</t>
  </si>
  <si>
    <t>CASS FRESH</t>
  </si>
  <si>
    <t>CB ELEPHANT</t>
  </si>
  <si>
    <t>CB ELEPHANT STRONG BEER</t>
  </si>
  <si>
    <t>CB STRONG</t>
  </si>
  <si>
    <t>CB STRONG BEER</t>
  </si>
  <si>
    <t>COOPERS EXTRA STOUT BEER</t>
  </si>
  <si>
    <t>COOPERS PALE ALE BEER</t>
  </si>
  <si>
    <t>CORONA BEER</t>
  </si>
  <si>
    <t>DEE WINE ELITE</t>
  </si>
  <si>
    <t>DISCO PANDA HOPPY/MANGO MAGIC</t>
  </si>
  <si>
    <t>DISCO PANDA HOPPY MANIA SUP. STRONG</t>
  </si>
  <si>
    <t>DISCO PANDA PAAN SUPARI ST</t>
  </si>
  <si>
    <t>ESTELLA DAMM BEER</t>
  </si>
  <si>
    <t>FOSTERS GOLD PREMIUM SRTONG BEER</t>
  </si>
  <si>
    <t>GODFATHER STRONG/LEGD. BEER</t>
  </si>
  <si>
    <t>GODFATHER SUPER8 BEER</t>
  </si>
  <si>
    <t>GOLDEN EAGLE CLASSIC STRONG BEER</t>
  </si>
  <si>
    <t>HAMESTER FLAVOUR BEER</t>
  </si>
  <si>
    <t>HAMESTER STRONG</t>
  </si>
  <si>
    <t>HAYWARDS 0 STRONG BEER</t>
  </si>
  <si>
    <t>HEINECAN BEER</t>
  </si>
  <si>
    <t>HILLSBERG BEER</t>
  </si>
  <si>
    <t>HILLSBERG ULTRA BEER</t>
  </si>
  <si>
    <t>HOEGARDEN BEER</t>
  </si>
  <si>
    <t>HOPPER BLONDE</t>
  </si>
  <si>
    <t>HOPPER BLONDE BEER</t>
  </si>
  <si>
    <t>HOPPER WITBIER</t>
  </si>
  <si>
    <t>HOPPER WITBLER BEER</t>
  </si>
  <si>
    <t>HUNTER REFRESHING ST NAT WHEAT BEER</t>
  </si>
  <si>
    <t>INACANE</t>
  </si>
  <si>
    <t>IQ SPACIALLY WHEAT</t>
  </si>
  <si>
    <t>JOES CRAFT PREMIUM STRONG BEER</t>
  </si>
  <si>
    <t>K F LAGER BEER</t>
  </si>
  <si>
    <t>K F S EXTRA SPECIAL STRONG BEER</t>
  </si>
  <si>
    <t>K F STRONG BEER</t>
  </si>
  <si>
    <t>K F STRONG MALT BEER</t>
  </si>
  <si>
    <t>K F ULTRA LAGER BEER</t>
  </si>
  <si>
    <t>K F ULTRA MAX STRONG BEER</t>
  </si>
  <si>
    <t>K F ULTRA STRONG BEER</t>
  </si>
  <si>
    <t>KOLT GOLD STRONG BEER</t>
  </si>
  <si>
    <t>MEAKIN'S 10,000 STRONG BEER</t>
  </si>
  <si>
    <t>MEDUSA SUP ST BEER</t>
  </si>
  <si>
    <t>MILLER ACE STRONG BEER</t>
  </si>
  <si>
    <t>MOUNTS 6000 STRONG BEER</t>
  </si>
  <si>
    <t>OLD MONK ST BEER</t>
  </si>
  <si>
    <t>PROOST PREMIUM ST</t>
  </si>
  <si>
    <t>ROCKBERG STRONG</t>
  </si>
  <si>
    <t>SIX FIELD CULT\BRUTE BEER</t>
  </si>
  <si>
    <t>STOCK STRONG BEER</t>
  </si>
  <si>
    <t>SUPER MAKA DI</t>
  </si>
  <si>
    <t>THUNDER BOLT STRONG BEER</t>
  </si>
  <si>
    <t>TUBORG 1880 GOLD STRONG BEER</t>
  </si>
  <si>
    <t>TUBORG CLASSIC MALT/ STRONG BEER</t>
  </si>
  <si>
    <t>TUBORG STRONG MALT BEER</t>
  </si>
  <si>
    <t>TUBORG WHITE DANISH</t>
  </si>
  <si>
    <t>WILD DRUM PEACH</t>
  </si>
  <si>
    <t>WILD DRUM PURE STRONG/PEACH/LEMON/BERRY</t>
  </si>
  <si>
    <t>WONDER WINE</t>
  </si>
  <si>
    <t>Location</t>
  </si>
  <si>
    <t>Date</t>
  </si>
  <si>
    <t>Head Office</t>
  </si>
  <si>
    <t>Opening Qty</t>
  </si>
  <si>
    <t>store-4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</si>
</sst>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7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6"/>
      <color rgb="FFCC3333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49" fontId="1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inden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FCAFF-F569-4D44-A988-374F7E42CEC2}">
  <dimension ref="A1:G17"/>
  <sheetViews>
    <sheetView tabSelected="1" workbookViewId="0">
      <selection activeCell="A10" sqref="A10:A17"/>
    </sheetView>
  </sheetViews>
  <sheetFormatPr defaultRowHeight="14.5" x14ac:dyDescent="0.35"/>
  <cols>
    <col min="1" max="1" width="10.36328125" bestFit="1" customWidth="1"/>
    <col min="3" max="3" width="45.08984375" bestFit="1" customWidth="1"/>
    <col min="4" max="4" width="10.1796875" bestFit="1" customWidth="1"/>
    <col min="5" max="5" width="13.08984375" bestFit="1" customWidth="1"/>
  </cols>
  <sheetData>
    <row r="1" spans="1:7" x14ac:dyDescent="0.35">
      <c r="A1" t="s">
        <v>2093</v>
      </c>
      <c r="B1" t="s">
        <v>2094</v>
      </c>
      <c r="C1" s="1" t="s">
        <v>0</v>
      </c>
      <c r="D1" s="1" t="s">
        <v>1</v>
      </c>
      <c r="E1" t="s">
        <v>2096</v>
      </c>
      <c r="G1" s="9"/>
    </row>
    <row r="2" spans="1:7" x14ac:dyDescent="0.35">
      <c r="A2" t="s">
        <v>2095</v>
      </c>
      <c r="B2" s="10">
        <v>45748</v>
      </c>
      <c r="C2" t="s">
        <v>1411</v>
      </c>
      <c r="D2" t="s">
        <v>4</v>
      </c>
      <c r="E2">
        <v>10</v>
      </c>
      <c r="G2" s="9"/>
    </row>
    <row r="3" spans="1:7" x14ac:dyDescent="0.35">
      <c r="A3" t="s">
        <v>2095</v>
      </c>
      <c r="B3" s="10">
        <v>45748</v>
      </c>
      <c r="C3" t="s">
        <v>1412</v>
      </c>
      <c r="D3" t="s">
        <v>374</v>
      </c>
      <c r="E3">
        <v>5</v>
      </c>
      <c r="G3" s="9"/>
    </row>
    <row r="4" spans="1:7" x14ac:dyDescent="0.35">
      <c r="A4" t="s">
        <v>2095</v>
      </c>
      <c r="B4" s="10">
        <v>45748</v>
      </c>
      <c r="C4" t="s">
        <v>1412</v>
      </c>
      <c r="D4" t="s">
        <v>4</v>
      </c>
      <c r="E4">
        <v>5</v>
      </c>
      <c r="G4" s="9"/>
    </row>
    <row r="5" spans="1:7" x14ac:dyDescent="0.35">
      <c r="A5" t="s">
        <v>2095</v>
      </c>
      <c r="B5" s="10">
        <v>45748</v>
      </c>
      <c r="C5" t="s">
        <v>1413</v>
      </c>
      <c r="D5" t="s">
        <v>374</v>
      </c>
      <c r="E5">
        <v>5</v>
      </c>
      <c r="G5" s="9"/>
    </row>
    <row r="6" spans="1:7" x14ac:dyDescent="0.35">
      <c r="A6" t="s">
        <v>2095</v>
      </c>
      <c r="B6" s="10">
        <v>45748</v>
      </c>
      <c r="C6" t="s">
        <v>1413</v>
      </c>
      <c r="D6" t="s">
        <v>5</v>
      </c>
      <c r="E6">
        <v>15</v>
      </c>
      <c r="G6" s="9"/>
    </row>
    <row r="7" spans="1:7" x14ac:dyDescent="0.35">
      <c r="A7" t="s">
        <v>2095</v>
      </c>
      <c r="B7" s="10">
        <v>45748</v>
      </c>
      <c r="C7" t="s">
        <v>1413</v>
      </c>
      <c r="D7" t="s">
        <v>4</v>
      </c>
      <c r="E7">
        <v>15</v>
      </c>
      <c r="G7" s="9"/>
    </row>
    <row r="8" spans="1:7" x14ac:dyDescent="0.35">
      <c r="A8" t="s">
        <v>2095</v>
      </c>
      <c r="B8" s="10">
        <v>45748</v>
      </c>
      <c r="C8" t="s">
        <v>1414</v>
      </c>
      <c r="D8" t="s">
        <v>374</v>
      </c>
      <c r="E8">
        <v>20</v>
      </c>
      <c r="G8" s="9"/>
    </row>
    <row r="9" spans="1:7" x14ac:dyDescent="0.35">
      <c r="A9" t="s">
        <v>2095</v>
      </c>
      <c r="B9" s="10">
        <v>45748</v>
      </c>
      <c r="C9" t="s">
        <v>1414</v>
      </c>
      <c r="D9" t="s">
        <v>4</v>
      </c>
      <c r="E9">
        <v>20</v>
      </c>
      <c r="G9" s="9"/>
    </row>
    <row r="10" spans="1:7" x14ac:dyDescent="0.35">
      <c r="A10" t="s">
        <v>2097</v>
      </c>
      <c r="B10" s="10">
        <v>45748</v>
      </c>
      <c r="C10" t="s">
        <v>1411</v>
      </c>
      <c r="D10" t="s">
        <v>4</v>
      </c>
      <c r="E10">
        <v>10</v>
      </c>
      <c r="G10" s="9"/>
    </row>
    <row r="11" spans="1:7" x14ac:dyDescent="0.35">
      <c r="A11" t="s">
        <v>2097</v>
      </c>
      <c r="B11" s="10">
        <v>45748</v>
      </c>
      <c r="C11" t="s">
        <v>1412</v>
      </c>
      <c r="D11" t="s">
        <v>374</v>
      </c>
      <c r="E11">
        <v>5</v>
      </c>
      <c r="G11" s="9"/>
    </row>
    <row r="12" spans="1:7" x14ac:dyDescent="0.35">
      <c r="A12" t="s">
        <v>2097</v>
      </c>
      <c r="B12" s="10">
        <v>45748</v>
      </c>
      <c r="C12" t="s">
        <v>1412</v>
      </c>
      <c r="D12" t="s">
        <v>4</v>
      </c>
      <c r="E12">
        <v>5</v>
      </c>
      <c r="G12" s="9"/>
    </row>
    <row r="13" spans="1:7" x14ac:dyDescent="0.35">
      <c r="A13" t="s">
        <v>2097</v>
      </c>
      <c r="B13" s="10">
        <v>45748</v>
      </c>
      <c r="C13" t="s">
        <v>1413</v>
      </c>
      <c r="D13" t="s">
        <v>374</v>
      </c>
      <c r="E13">
        <v>5</v>
      </c>
      <c r="G13" s="9"/>
    </row>
    <row r="14" spans="1:7" x14ac:dyDescent="0.35">
      <c r="A14" t="s">
        <v>2097</v>
      </c>
      <c r="B14" s="10">
        <v>45748</v>
      </c>
      <c r="C14" t="s">
        <v>1413</v>
      </c>
      <c r="D14" t="s">
        <v>5</v>
      </c>
      <c r="E14">
        <v>15</v>
      </c>
      <c r="G14" s="9"/>
    </row>
    <row r="15" spans="1:7" x14ac:dyDescent="0.35">
      <c r="A15" t="s">
        <v>2097</v>
      </c>
      <c r="B15" s="10">
        <v>45748</v>
      </c>
      <c r="C15" t="s">
        <v>1413</v>
      </c>
      <c r="D15" t="s">
        <v>4</v>
      </c>
      <c r="E15">
        <v>15</v>
      </c>
      <c r="G15" s="9"/>
    </row>
    <row r="16" spans="1:7" x14ac:dyDescent="0.35">
      <c r="A16" t="s">
        <v>2097</v>
      </c>
      <c r="B16" s="10">
        <v>45748</v>
      </c>
      <c r="C16" t="s">
        <v>1414</v>
      </c>
      <c r="D16" t="s">
        <v>374</v>
      </c>
      <c r="E16">
        <v>20</v>
      </c>
      <c r="G16" s="9"/>
    </row>
    <row r="17" spans="1:7" x14ac:dyDescent="0.35">
      <c r="A17" t="s">
        <v>2097</v>
      </c>
      <c r="B17" s="10">
        <v>45748</v>
      </c>
      <c r="C17" t="s">
        <v>1414</v>
      </c>
      <c r="D17" t="s">
        <v>4</v>
      </c>
      <c r="E17">
        <v>20</v>
      </c>
      <c r="G1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6DAE-AF8B-4824-B5D7-DBEBA377A726}">
  <dimension ref="A1:E1076"/>
  <sheetViews>
    <sheetView workbookViewId="0">
      <selection activeCell="A2" sqref="A2"/>
    </sheetView>
  </sheetViews>
  <sheetFormatPr defaultRowHeight="14.5" x14ac:dyDescent="0.35"/>
  <cols>
    <col min="1" max="1" width="45.08984375" bestFit="1" customWidth="1"/>
    <col min="2" max="2" width="9.26953125" style="2" bestFit="1" customWidth="1"/>
    <col min="3" max="3" width="13.08984375" bestFit="1" customWidth="1"/>
    <col min="4" max="4" width="5.81640625" bestFit="1" customWidth="1"/>
    <col min="5" max="5" width="40.7265625" bestFit="1" customWidth="1"/>
  </cols>
  <sheetData>
    <row r="1" spans="1:5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5">
      <c r="A2" s="2" t="s">
        <v>377</v>
      </c>
      <c r="B2" s="2" t="s">
        <v>4</v>
      </c>
      <c r="C2" s="3">
        <v>5331.23</v>
      </c>
      <c r="D2" s="1">
        <v>5980</v>
      </c>
      <c r="E2" s="2" t="s">
        <v>1411</v>
      </c>
    </row>
    <row r="3" spans="1:5" x14ac:dyDescent="0.35">
      <c r="A3" s="2" t="s">
        <v>378</v>
      </c>
      <c r="B3" s="2" t="s">
        <v>374</v>
      </c>
      <c r="C3" s="3">
        <v>532.94000000000005</v>
      </c>
      <c r="D3" s="1">
        <v>600</v>
      </c>
      <c r="E3" s="2" t="s">
        <v>1412</v>
      </c>
    </row>
    <row r="4" spans="1:5" x14ac:dyDescent="0.35">
      <c r="A4" s="2" t="s">
        <v>378</v>
      </c>
      <c r="B4" s="2" t="s">
        <v>4</v>
      </c>
      <c r="C4" s="3">
        <v>2141.14</v>
      </c>
      <c r="D4" s="1">
        <v>2400</v>
      </c>
      <c r="E4" s="2" t="s">
        <v>1412</v>
      </c>
    </row>
    <row r="5" spans="1:5" x14ac:dyDescent="0.35">
      <c r="A5" s="2" t="s">
        <v>379</v>
      </c>
      <c r="B5" s="2" t="s">
        <v>374</v>
      </c>
      <c r="C5" s="3">
        <v>368.75</v>
      </c>
      <c r="D5" s="1">
        <v>420</v>
      </c>
      <c r="E5" s="2" t="s">
        <v>1413</v>
      </c>
    </row>
    <row r="6" spans="1:5" x14ac:dyDescent="0.35">
      <c r="A6" s="2" t="s">
        <v>379</v>
      </c>
      <c r="B6" s="2" t="s">
        <v>5</v>
      </c>
      <c r="C6" s="3">
        <v>754.58</v>
      </c>
      <c r="D6" s="1">
        <v>850</v>
      </c>
      <c r="E6" s="2" t="s">
        <v>1413</v>
      </c>
    </row>
    <row r="7" spans="1:5" x14ac:dyDescent="0.35">
      <c r="A7" s="2" t="s">
        <v>379</v>
      </c>
      <c r="B7" s="2" t="s">
        <v>4</v>
      </c>
      <c r="C7" s="3">
        <v>1498.23</v>
      </c>
      <c r="D7" s="1">
        <v>1680</v>
      </c>
      <c r="E7" s="2" t="s">
        <v>1413</v>
      </c>
    </row>
    <row r="8" spans="1:5" x14ac:dyDescent="0.35">
      <c r="A8" s="2" t="s">
        <v>380</v>
      </c>
      <c r="B8" s="2" t="s">
        <v>374</v>
      </c>
      <c r="C8" s="3">
        <v>515.14</v>
      </c>
      <c r="D8" s="1">
        <v>580</v>
      </c>
      <c r="E8" s="2" t="s">
        <v>1414</v>
      </c>
    </row>
    <row r="9" spans="1:5" x14ac:dyDescent="0.35">
      <c r="A9" s="2" t="s">
        <v>380</v>
      </c>
      <c r="B9" s="2" t="s">
        <v>4</v>
      </c>
      <c r="C9" s="3">
        <v>2054.7199999999998</v>
      </c>
      <c r="D9" s="1">
        <v>2310</v>
      </c>
      <c r="E9" s="2" t="s">
        <v>1414</v>
      </c>
    </row>
    <row r="10" spans="1:5" x14ac:dyDescent="0.35">
      <c r="A10" s="2" t="s">
        <v>381</v>
      </c>
      <c r="B10" s="2" t="s">
        <v>4</v>
      </c>
      <c r="C10" s="3">
        <v>4077.84</v>
      </c>
      <c r="D10" s="1">
        <v>4570</v>
      </c>
      <c r="E10" s="2" t="s">
        <v>1415</v>
      </c>
    </row>
    <row r="11" spans="1:5" x14ac:dyDescent="0.35">
      <c r="A11" s="2" t="s">
        <v>382</v>
      </c>
      <c r="B11" s="2" t="s">
        <v>374</v>
      </c>
      <c r="C11" s="3">
        <v>215.51</v>
      </c>
      <c r="D11" s="1">
        <v>250</v>
      </c>
      <c r="E11" s="2" t="s">
        <v>1416</v>
      </c>
    </row>
    <row r="12" spans="1:5" x14ac:dyDescent="0.35">
      <c r="A12" s="2" t="s">
        <v>382</v>
      </c>
      <c r="B12" s="2" t="s">
        <v>5</v>
      </c>
      <c r="C12" s="3">
        <v>428.98</v>
      </c>
      <c r="D12" s="1">
        <v>490</v>
      </c>
      <c r="E12" s="2" t="s">
        <v>1416</v>
      </c>
    </row>
    <row r="13" spans="1:5" x14ac:dyDescent="0.35">
      <c r="A13" s="2" t="s">
        <v>382</v>
      </c>
      <c r="B13" s="2" t="s">
        <v>4</v>
      </c>
      <c r="C13" s="3">
        <v>847.95</v>
      </c>
      <c r="D13" s="1">
        <v>950</v>
      </c>
      <c r="E13" s="2" t="s">
        <v>1416</v>
      </c>
    </row>
    <row r="14" spans="1:5" x14ac:dyDescent="0.35">
      <c r="A14" s="2" t="s">
        <v>383</v>
      </c>
      <c r="B14" s="2" t="s">
        <v>374</v>
      </c>
      <c r="C14" s="3">
        <v>177.26</v>
      </c>
      <c r="D14" s="1">
        <v>200</v>
      </c>
      <c r="E14" s="2" t="s">
        <v>1417</v>
      </c>
    </row>
    <row r="15" spans="1:5" x14ac:dyDescent="0.35">
      <c r="A15" s="2" t="s">
        <v>383</v>
      </c>
      <c r="B15" s="2" t="s">
        <v>5</v>
      </c>
      <c r="C15" s="3">
        <v>362.62</v>
      </c>
      <c r="D15" s="1">
        <v>410</v>
      </c>
      <c r="E15" s="2" t="s">
        <v>1417</v>
      </c>
    </row>
    <row r="16" spans="1:5" x14ac:dyDescent="0.35">
      <c r="A16" s="2" t="s">
        <v>383</v>
      </c>
      <c r="B16" s="2" t="s">
        <v>4</v>
      </c>
      <c r="C16" s="3">
        <v>695.23</v>
      </c>
      <c r="D16" s="1">
        <v>780</v>
      </c>
      <c r="E16" s="2" t="s">
        <v>1417</v>
      </c>
    </row>
    <row r="17" spans="1:5" x14ac:dyDescent="0.35">
      <c r="A17" s="2" t="s">
        <v>384</v>
      </c>
      <c r="B17" s="2" t="s">
        <v>4</v>
      </c>
      <c r="C17" s="3">
        <v>2073.54</v>
      </c>
      <c r="D17" s="1">
        <v>2330</v>
      </c>
      <c r="E17" s="2" t="s">
        <v>1418</v>
      </c>
    </row>
    <row r="18" spans="1:5" x14ac:dyDescent="0.35">
      <c r="A18" s="2" t="s">
        <v>385</v>
      </c>
      <c r="B18" s="2" t="s">
        <v>5</v>
      </c>
      <c r="C18" s="3">
        <v>8908.33</v>
      </c>
      <c r="D18" s="1">
        <v>9980</v>
      </c>
      <c r="E18" s="2" t="s">
        <v>385</v>
      </c>
    </row>
    <row r="19" spans="1:5" x14ac:dyDescent="0.35">
      <c r="A19" s="2" t="s">
        <v>386</v>
      </c>
      <c r="B19" s="2" t="s">
        <v>376</v>
      </c>
      <c r="C19" s="3">
        <v>79.41</v>
      </c>
      <c r="D19" s="1">
        <v>90</v>
      </c>
      <c r="E19" s="2" t="s">
        <v>1419</v>
      </c>
    </row>
    <row r="20" spans="1:5" x14ac:dyDescent="0.35">
      <c r="A20" s="2" t="s">
        <v>386</v>
      </c>
      <c r="B20" s="2" t="s">
        <v>374</v>
      </c>
      <c r="C20" s="3">
        <v>148.76</v>
      </c>
      <c r="D20" s="1">
        <v>170</v>
      </c>
      <c r="E20" s="2" t="s">
        <v>1419</v>
      </c>
    </row>
    <row r="21" spans="1:5" x14ac:dyDescent="0.35">
      <c r="A21" s="2" t="s">
        <v>386</v>
      </c>
      <c r="B21" s="2" t="s">
        <v>5</v>
      </c>
      <c r="C21" s="3">
        <v>295.85000000000002</v>
      </c>
      <c r="D21" s="1">
        <v>340</v>
      </c>
      <c r="E21" s="2" t="s">
        <v>1419</v>
      </c>
    </row>
    <row r="22" spans="1:5" x14ac:dyDescent="0.35">
      <c r="A22" s="2" t="s">
        <v>386</v>
      </c>
      <c r="B22" s="2" t="s">
        <v>4</v>
      </c>
      <c r="C22" s="3">
        <v>581.67999999999995</v>
      </c>
      <c r="D22" s="1">
        <v>660</v>
      </c>
      <c r="E22" s="2" t="s">
        <v>1419</v>
      </c>
    </row>
    <row r="23" spans="1:5" x14ac:dyDescent="0.35">
      <c r="A23" s="2" t="s">
        <v>387</v>
      </c>
      <c r="B23" s="2" t="s">
        <v>374</v>
      </c>
      <c r="C23" s="3">
        <v>109.53</v>
      </c>
      <c r="D23" s="1">
        <v>130</v>
      </c>
      <c r="E23" s="2" t="s">
        <v>1420</v>
      </c>
    </row>
    <row r="24" spans="1:5" x14ac:dyDescent="0.35">
      <c r="A24" s="2" t="s">
        <v>387</v>
      </c>
      <c r="B24" s="2" t="s">
        <v>5</v>
      </c>
      <c r="C24" s="3">
        <v>203.95</v>
      </c>
      <c r="D24" s="1">
        <v>230</v>
      </c>
      <c r="E24" s="2" t="s">
        <v>1420</v>
      </c>
    </row>
    <row r="25" spans="1:5" x14ac:dyDescent="0.35">
      <c r="A25" s="2" t="s">
        <v>387</v>
      </c>
      <c r="B25" s="2" t="s">
        <v>4</v>
      </c>
      <c r="C25" s="3">
        <v>387.9</v>
      </c>
      <c r="D25" s="1">
        <v>440</v>
      </c>
      <c r="E25" s="2" t="s">
        <v>1420</v>
      </c>
    </row>
    <row r="26" spans="1:5" x14ac:dyDescent="0.35">
      <c r="A26" s="2" t="s">
        <v>388</v>
      </c>
      <c r="B26" s="2" t="s">
        <v>374</v>
      </c>
      <c r="C26" s="3">
        <v>102.72</v>
      </c>
      <c r="D26" s="1">
        <v>120</v>
      </c>
      <c r="E26" s="2" t="s">
        <v>1421</v>
      </c>
    </row>
    <row r="27" spans="1:5" x14ac:dyDescent="0.35">
      <c r="A27" s="2" t="s">
        <v>388</v>
      </c>
      <c r="B27" s="2" t="s">
        <v>5</v>
      </c>
      <c r="C27" s="3">
        <v>203.94</v>
      </c>
      <c r="D27" s="1">
        <v>230</v>
      </c>
      <c r="E27" s="2" t="s">
        <v>1421</v>
      </c>
    </row>
    <row r="28" spans="1:5" x14ac:dyDescent="0.35">
      <c r="A28" s="2" t="s">
        <v>388</v>
      </c>
      <c r="B28" s="2" t="s">
        <v>4</v>
      </c>
      <c r="C28" s="3">
        <v>387.87</v>
      </c>
      <c r="D28" s="1">
        <v>440</v>
      </c>
      <c r="E28" s="2" t="s">
        <v>1421</v>
      </c>
    </row>
    <row r="29" spans="1:5" x14ac:dyDescent="0.35">
      <c r="A29" s="2" t="s">
        <v>389</v>
      </c>
      <c r="B29" s="2" t="s">
        <v>374</v>
      </c>
      <c r="C29" s="3">
        <v>129.88999999999999</v>
      </c>
      <c r="D29" s="1">
        <v>150</v>
      </c>
      <c r="E29" s="2" t="s">
        <v>1422</v>
      </c>
    </row>
    <row r="30" spans="1:5" x14ac:dyDescent="0.35">
      <c r="A30" s="2" t="s">
        <v>389</v>
      </c>
      <c r="B30" s="2" t="s">
        <v>5</v>
      </c>
      <c r="C30" s="3">
        <v>268.08999999999997</v>
      </c>
      <c r="D30" s="1">
        <v>310</v>
      </c>
      <c r="E30" s="2" t="s">
        <v>1422</v>
      </c>
    </row>
    <row r="31" spans="1:5" x14ac:dyDescent="0.35">
      <c r="A31" s="2" t="s">
        <v>389</v>
      </c>
      <c r="B31" s="2" t="s">
        <v>4</v>
      </c>
      <c r="C31" s="3">
        <v>526.17999999999995</v>
      </c>
      <c r="D31" s="1">
        <v>590</v>
      </c>
      <c r="E31" s="2" t="s">
        <v>1422</v>
      </c>
    </row>
    <row r="32" spans="1:5" x14ac:dyDescent="0.35">
      <c r="A32" s="2" t="s">
        <v>390</v>
      </c>
      <c r="B32" s="2" t="s">
        <v>4</v>
      </c>
      <c r="C32" s="3">
        <v>3300.69</v>
      </c>
      <c r="D32" s="1">
        <v>3700</v>
      </c>
      <c r="E32" s="2" t="s">
        <v>1423</v>
      </c>
    </row>
    <row r="33" spans="1:5" x14ac:dyDescent="0.35">
      <c r="A33" s="2" t="s">
        <v>391</v>
      </c>
      <c r="B33" s="2" t="s">
        <v>4</v>
      </c>
      <c r="C33" s="3">
        <v>3466.51</v>
      </c>
      <c r="D33" s="1">
        <v>3890</v>
      </c>
      <c r="E33" s="2" t="s">
        <v>1424</v>
      </c>
    </row>
    <row r="34" spans="1:5" x14ac:dyDescent="0.35">
      <c r="A34" s="2" t="s">
        <v>392</v>
      </c>
      <c r="B34" s="2" t="s">
        <v>4</v>
      </c>
      <c r="C34" s="3">
        <v>1690.43</v>
      </c>
      <c r="D34" s="1">
        <v>1900</v>
      </c>
      <c r="E34" s="2" t="s">
        <v>1425</v>
      </c>
    </row>
    <row r="35" spans="1:5" x14ac:dyDescent="0.35">
      <c r="A35" s="2" t="s">
        <v>6</v>
      </c>
      <c r="B35" s="2" t="s">
        <v>374</v>
      </c>
      <c r="C35" s="3">
        <v>558.85</v>
      </c>
      <c r="D35" s="1">
        <v>630</v>
      </c>
      <c r="E35" t="s">
        <v>1426</v>
      </c>
    </row>
    <row r="36" spans="1:5" x14ac:dyDescent="0.35">
      <c r="A36" s="2" t="s">
        <v>7</v>
      </c>
      <c r="B36" s="2" t="s">
        <v>374</v>
      </c>
      <c r="C36" s="3">
        <v>598.29999999999995</v>
      </c>
      <c r="D36" s="1">
        <v>680</v>
      </c>
      <c r="E36" t="s">
        <v>1426</v>
      </c>
    </row>
    <row r="37" spans="1:5" x14ac:dyDescent="0.35">
      <c r="A37" s="2" t="s">
        <v>8</v>
      </c>
      <c r="B37" s="2" t="s">
        <v>374</v>
      </c>
      <c r="C37" s="3">
        <v>150.11000000000001</v>
      </c>
      <c r="D37" s="1">
        <v>170</v>
      </c>
      <c r="E37" t="s">
        <v>1426</v>
      </c>
    </row>
    <row r="38" spans="1:5" x14ac:dyDescent="0.35">
      <c r="A38" s="2" t="s">
        <v>9</v>
      </c>
      <c r="B38" s="2" t="s">
        <v>4</v>
      </c>
      <c r="C38" s="3">
        <v>1639.04</v>
      </c>
      <c r="D38" s="1">
        <v>1840</v>
      </c>
      <c r="E38" t="s">
        <v>1426</v>
      </c>
    </row>
    <row r="39" spans="1:5" x14ac:dyDescent="0.35">
      <c r="A39" s="2" t="s">
        <v>393</v>
      </c>
      <c r="B39" s="2" t="s">
        <v>374</v>
      </c>
      <c r="C39" s="3">
        <v>609.96</v>
      </c>
      <c r="D39" s="1">
        <v>690</v>
      </c>
      <c r="E39" t="s">
        <v>1427</v>
      </c>
    </row>
    <row r="40" spans="1:5" x14ac:dyDescent="0.35">
      <c r="A40" s="2" t="s">
        <v>394</v>
      </c>
      <c r="B40" s="2" t="s">
        <v>4</v>
      </c>
      <c r="C40" s="3">
        <v>1690.17</v>
      </c>
      <c r="D40" s="1">
        <v>1900</v>
      </c>
      <c r="E40" t="s">
        <v>1428</v>
      </c>
    </row>
    <row r="41" spans="1:5" x14ac:dyDescent="0.35">
      <c r="A41" s="2" t="s">
        <v>10</v>
      </c>
      <c r="B41" s="2" t="s">
        <v>4</v>
      </c>
      <c r="C41" s="3">
        <v>2216.09</v>
      </c>
      <c r="D41" s="1">
        <v>2490</v>
      </c>
      <c r="E41" t="s">
        <v>1427</v>
      </c>
    </row>
    <row r="42" spans="1:5" x14ac:dyDescent="0.35">
      <c r="A42" s="2" t="s">
        <v>395</v>
      </c>
      <c r="B42" s="2" t="s">
        <v>4</v>
      </c>
      <c r="C42" s="3">
        <v>1723.55</v>
      </c>
      <c r="D42" s="1">
        <v>1940</v>
      </c>
      <c r="E42" t="s">
        <v>1429</v>
      </c>
    </row>
    <row r="43" spans="1:5" x14ac:dyDescent="0.35">
      <c r="A43" s="2" t="s">
        <v>396</v>
      </c>
      <c r="B43" s="2" t="s">
        <v>4</v>
      </c>
      <c r="C43" s="3">
        <v>1507.2</v>
      </c>
      <c r="D43" s="1">
        <v>1690</v>
      </c>
      <c r="E43" s="2" t="s">
        <v>1430</v>
      </c>
    </row>
    <row r="44" spans="1:5" x14ac:dyDescent="0.35">
      <c r="A44" s="2" t="s">
        <v>397</v>
      </c>
      <c r="B44" s="2" t="s">
        <v>4</v>
      </c>
      <c r="C44" s="3">
        <v>1801.61</v>
      </c>
      <c r="D44" s="1">
        <v>2020</v>
      </c>
      <c r="E44" s="2" t="s">
        <v>1431</v>
      </c>
    </row>
    <row r="45" spans="1:5" x14ac:dyDescent="0.35">
      <c r="A45" s="2" t="s">
        <v>398</v>
      </c>
      <c r="B45" s="2" t="s">
        <v>374</v>
      </c>
      <c r="C45" s="3">
        <v>129.88999999999999</v>
      </c>
      <c r="D45" s="1">
        <v>150</v>
      </c>
      <c r="E45" t="s">
        <v>1432</v>
      </c>
    </row>
    <row r="46" spans="1:5" x14ac:dyDescent="0.35">
      <c r="A46" s="2" t="s">
        <v>399</v>
      </c>
      <c r="B46" s="2" t="s">
        <v>5</v>
      </c>
      <c r="C46" s="3">
        <v>268.08999999999997</v>
      </c>
      <c r="D46" s="1">
        <v>310</v>
      </c>
      <c r="E46" t="s">
        <v>1432</v>
      </c>
    </row>
    <row r="47" spans="1:5" x14ac:dyDescent="0.35">
      <c r="A47" s="2" t="s">
        <v>400</v>
      </c>
      <c r="B47" s="2" t="s">
        <v>4</v>
      </c>
      <c r="C47" s="3">
        <v>526.17999999999995</v>
      </c>
      <c r="D47" s="1">
        <v>590</v>
      </c>
      <c r="E47" t="s">
        <v>1432</v>
      </c>
    </row>
    <row r="48" spans="1:5" x14ac:dyDescent="0.35">
      <c r="A48" s="2" t="s">
        <v>401</v>
      </c>
      <c r="B48" s="2" t="s">
        <v>5</v>
      </c>
      <c r="C48" s="3">
        <v>3278.83</v>
      </c>
      <c r="D48" s="1">
        <v>3680</v>
      </c>
      <c r="E48" t="s">
        <v>1433</v>
      </c>
    </row>
    <row r="49" spans="1:5" x14ac:dyDescent="0.35">
      <c r="A49" s="2" t="s">
        <v>402</v>
      </c>
      <c r="B49" s="2" t="s">
        <v>4</v>
      </c>
      <c r="C49" s="3">
        <v>4034.17</v>
      </c>
      <c r="D49" s="1">
        <v>4520</v>
      </c>
      <c r="E49" t="s">
        <v>1434</v>
      </c>
    </row>
    <row r="50" spans="1:5" x14ac:dyDescent="0.35">
      <c r="A50" s="2" t="s">
        <v>403</v>
      </c>
      <c r="B50" s="2" t="s">
        <v>374</v>
      </c>
      <c r="C50" s="3">
        <v>177.04</v>
      </c>
      <c r="D50" s="1">
        <v>200</v>
      </c>
      <c r="E50" s="2" t="s">
        <v>1435</v>
      </c>
    </row>
    <row r="51" spans="1:5" x14ac:dyDescent="0.35">
      <c r="A51" s="2" t="s">
        <v>403</v>
      </c>
      <c r="B51" s="2" t="s">
        <v>5</v>
      </c>
      <c r="C51" s="3">
        <v>352.58</v>
      </c>
      <c r="D51" s="1">
        <v>400</v>
      </c>
      <c r="E51" s="2" t="s">
        <v>1435</v>
      </c>
    </row>
    <row r="52" spans="1:5" x14ac:dyDescent="0.35">
      <c r="A52" s="2" t="s">
        <v>403</v>
      </c>
      <c r="B52" s="2" t="s">
        <v>4</v>
      </c>
      <c r="C52" s="3">
        <v>684.42</v>
      </c>
      <c r="D52" s="1">
        <v>770</v>
      </c>
      <c r="E52" s="2" t="s">
        <v>1435</v>
      </c>
    </row>
    <row r="53" spans="1:5" x14ac:dyDescent="0.35">
      <c r="A53" s="2" t="s">
        <v>11</v>
      </c>
      <c r="B53" s="2" t="s">
        <v>4</v>
      </c>
      <c r="C53" s="3">
        <v>3248.14</v>
      </c>
      <c r="D53" s="1">
        <v>3640</v>
      </c>
      <c r="E53" t="s">
        <v>1436</v>
      </c>
    </row>
    <row r="54" spans="1:5" x14ac:dyDescent="0.35">
      <c r="A54" s="2" t="s">
        <v>12</v>
      </c>
      <c r="B54" s="2" t="s">
        <v>4</v>
      </c>
      <c r="C54" s="3">
        <v>3202.12</v>
      </c>
      <c r="D54" s="1">
        <v>3590</v>
      </c>
      <c r="E54" t="s">
        <v>1437</v>
      </c>
    </row>
    <row r="55" spans="1:5" x14ac:dyDescent="0.35">
      <c r="A55" s="2" t="s">
        <v>404</v>
      </c>
      <c r="B55" s="2" t="s">
        <v>374</v>
      </c>
      <c r="C55" s="3">
        <v>168.16</v>
      </c>
      <c r="D55" s="1">
        <v>190</v>
      </c>
      <c r="E55" s="2" t="s">
        <v>1438</v>
      </c>
    </row>
    <row r="56" spans="1:5" x14ac:dyDescent="0.35">
      <c r="A56" s="2" t="s">
        <v>404</v>
      </c>
      <c r="B56" s="2" t="s">
        <v>5</v>
      </c>
      <c r="C56" s="3">
        <v>324.45999999999998</v>
      </c>
      <c r="D56" s="1">
        <v>370</v>
      </c>
      <c r="E56" s="2" t="s">
        <v>1438</v>
      </c>
    </row>
    <row r="57" spans="1:5" x14ac:dyDescent="0.35">
      <c r="A57" s="2" t="s">
        <v>404</v>
      </c>
      <c r="B57" s="2" t="s">
        <v>4</v>
      </c>
      <c r="C57" s="3">
        <v>628.01</v>
      </c>
      <c r="D57" s="1">
        <v>710</v>
      </c>
      <c r="E57" s="2" t="s">
        <v>1438</v>
      </c>
    </row>
    <row r="58" spans="1:5" x14ac:dyDescent="0.35">
      <c r="A58" s="2" t="s">
        <v>405</v>
      </c>
      <c r="B58" s="2" t="s">
        <v>374</v>
      </c>
      <c r="C58" s="3">
        <v>158.69</v>
      </c>
      <c r="D58" s="1">
        <v>180</v>
      </c>
      <c r="E58" s="2" t="s">
        <v>1439</v>
      </c>
    </row>
    <row r="59" spans="1:5" x14ac:dyDescent="0.35">
      <c r="A59" s="2" t="s">
        <v>405</v>
      </c>
      <c r="B59" s="2" t="s">
        <v>5</v>
      </c>
      <c r="C59" s="3">
        <v>305.58</v>
      </c>
      <c r="D59" s="1">
        <v>350</v>
      </c>
      <c r="E59" s="2" t="s">
        <v>1439</v>
      </c>
    </row>
    <row r="60" spans="1:5" x14ac:dyDescent="0.35">
      <c r="A60" s="2" t="s">
        <v>405</v>
      </c>
      <c r="B60" s="2" t="s">
        <v>4</v>
      </c>
      <c r="C60" s="3">
        <v>591.13</v>
      </c>
      <c r="D60" s="1">
        <v>670</v>
      </c>
      <c r="E60" s="2" t="s">
        <v>1439</v>
      </c>
    </row>
    <row r="61" spans="1:5" x14ac:dyDescent="0.35">
      <c r="A61" s="2" t="s">
        <v>406</v>
      </c>
      <c r="B61" s="2" t="s">
        <v>4</v>
      </c>
      <c r="C61" s="3">
        <v>2947.51</v>
      </c>
      <c r="D61" s="1">
        <v>3310</v>
      </c>
      <c r="E61" t="s">
        <v>1440</v>
      </c>
    </row>
    <row r="62" spans="1:5" x14ac:dyDescent="0.35">
      <c r="A62" s="2" t="s">
        <v>407</v>
      </c>
      <c r="B62" s="2" t="s">
        <v>5</v>
      </c>
      <c r="C62" s="3">
        <v>1322.4</v>
      </c>
      <c r="D62" s="1">
        <v>1490</v>
      </c>
      <c r="E62" t="s">
        <v>1441</v>
      </c>
    </row>
    <row r="63" spans="1:5" x14ac:dyDescent="0.35">
      <c r="A63" s="2" t="s">
        <v>408</v>
      </c>
      <c r="B63" s="2" t="s">
        <v>4</v>
      </c>
      <c r="C63" s="3">
        <v>2430.9699999999998</v>
      </c>
      <c r="D63" s="1">
        <v>2730</v>
      </c>
      <c r="E63" t="s">
        <v>1441</v>
      </c>
    </row>
    <row r="64" spans="1:5" x14ac:dyDescent="0.35">
      <c r="A64" s="2" t="s">
        <v>409</v>
      </c>
      <c r="B64" s="2" t="s">
        <v>4</v>
      </c>
      <c r="C64" s="3">
        <v>3110</v>
      </c>
      <c r="D64" s="1">
        <v>3490</v>
      </c>
      <c r="E64" t="s">
        <v>1442</v>
      </c>
    </row>
    <row r="65" spans="1:5" x14ac:dyDescent="0.35">
      <c r="A65" s="2" t="s">
        <v>410</v>
      </c>
      <c r="B65" s="2" t="s">
        <v>374</v>
      </c>
      <c r="C65" s="3">
        <v>148.75</v>
      </c>
      <c r="D65" s="1">
        <v>170</v>
      </c>
      <c r="E65" s="2" t="s">
        <v>1443</v>
      </c>
    </row>
    <row r="66" spans="1:5" x14ac:dyDescent="0.35">
      <c r="A66" s="2" t="s">
        <v>410</v>
      </c>
      <c r="B66" s="2" t="s">
        <v>5</v>
      </c>
      <c r="C66" s="3">
        <v>295.83999999999997</v>
      </c>
      <c r="D66" s="1">
        <v>340</v>
      </c>
      <c r="E66" s="2" t="s">
        <v>1443</v>
      </c>
    </row>
    <row r="67" spans="1:5" x14ac:dyDescent="0.35">
      <c r="A67" s="2" t="s">
        <v>410</v>
      </c>
      <c r="B67" s="2" t="s">
        <v>4</v>
      </c>
      <c r="C67" s="3">
        <v>573.70000000000005</v>
      </c>
      <c r="D67" s="1">
        <v>650</v>
      </c>
      <c r="E67" s="2" t="s">
        <v>1443</v>
      </c>
    </row>
    <row r="68" spans="1:5" x14ac:dyDescent="0.35">
      <c r="A68" s="2" t="s">
        <v>411</v>
      </c>
      <c r="B68" s="2" t="s">
        <v>374</v>
      </c>
      <c r="C68" s="3">
        <v>158.46</v>
      </c>
      <c r="D68" s="1">
        <v>180</v>
      </c>
      <c r="E68" s="2" t="s">
        <v>1444</v>
      </c>
    </row>
    <row r="69" spans="1:5" x14ac:dyDescent="0.35">
      <c r="A69" s="2" t="s">
        <v>13</v>
      </c>
      <c r="B69" s="2" t="s">
        <v>5</v>
      </c>
      <c r="C69" s="3">
        <v>315.12</v>
      </c>
      <c r="D69" s="1">
        <v>360</v>
      </c>
      <c r="E69" t="s">
        <v>1444</v>
      </c>
    </row>
    <row r="70" spans="1:5" x14ac:dyDescent="0.35">
      <c r="A70" s="2" t="s">
        <v>14</v>
      </c>
      <c r="B70" s="2" t="s">
        <v>4</v>
      </c>
      <c r="C70" s="3">
        <v>610.28</v>
      </c>
      <c r="D70" s="1">
        <v>690</v>
      </c>
      <c r="E70" t="s">
        <v>1444</v>
      </c>
    </row>
    <row r="71" spans="1:5" x14ac:dyDescent="0.35">
      <c r="A71" s="2" t="s">
        <v>412</v>
      </c>
      <c r="B71" s="2" t="s">
        <v>374</v>
      </c>
      <c r="C71" s="3">
        <v>130.06</v>
      </c>
      <c r="D71" s="1">
        <v>150</v>
      </c>
      <c r="E71" s="2" t="s">
        <v>1445</v>
      </c>
    </row>
    <row r="72" spans="1:5" x14ac:dyDescent="0.35">
      <c r="A72" s="2" t="s">
        <v>412</v>
      </c>
      <c r="B72" s="2" t="s">
        <v>5</v>
      </c>
      <c r="C72" s="3">
        <v>268.72000000000003</v>
      </c>
      <c r="D72" s="1">
        <v>310</v>
      </c>
      <c r="E72" s="2" t="s">
        <v>1445</v>
      </c>
    </row>
    <row r="73" spans="1:5" x14ac:dyDescent="0.35">
      <c r="A73" s="2" t="s">
        <v>412</v>
      </c>
      <c r="B73" s="2" t="s">
        <v>4</v>
      </c>
      <c r="C73" s="3">
        <v>518.92999999999995</v>
      </c>
      <c r="D73" s="1">
        <v>590</v>
      </c>
      <c r="E73" s="2" t="s">
        <v>1445</v>
      </c>
    </row>
    <row r="74" spans="1:5" x14ac:dyDescent="0.35">
      <c r="A74" s="2" t="s">
        <v>15</v>
      </c>
      <c r="B74" s="2" t="s">
        <v>4</v>
      </c>
      <c r="C74" s="3">
        <v>2532.0100000000002</v>
      </c>
      <c r="D74" s="1">
        <v>2840</v>
      </c>
      <c r="E74" t="s">
        <v>1446</v>
      </c>
    </row>
    <row r="75" spans="1:5" x14ac:dyDescent="0.35">
      <c r="A75" s="2" t="s">
        <v>413</v>
      </c>
      <c r="B75" s="2" t="s">
        <v>4</v>
      </c>
      <c r="C75" s="3">
        <v>3670.95</v>
      </c>
      <c r="D75" s="1">
        <v>4120</v>
      </c>
      <c r="E75" t="s">
        <v>1447</v>
      </c>
    </row>
    <row r="76" spans="1:5" x14ac:dyDescent="0.35">
      <c r="A76" s="2" t="s">
        <v>414</v>
      </c>
      <c r="B76" s="2" t="s">
        <v>374</v>
      </c>
      <c r="C76" s="3">
        <v>253.7</v>
      </c>
      <c r="D76" s="1">
        <v>290</v>
      </c>
      <c r="E76" t="s">
        <v>1448</v>
      </c>
    </row>
    <row r="77" spans="1:5" x14ac:dyDescent="0.35">
      <c r="A77" s="2" t="s">
        <v>415</v>
      </c>
      <c r="B77" s="2" t="s">
        <v>5</v>
      </c>
      <c r="C77" s="3">
        <v>505.02</v>
      </c>
      <c r="D77" s="1">
        <v>570</v>
      </c>
      <c r="E77" t="s">
        <v>1448</v>
      </c>
    </row>
    <row r="78" spans="1:5" x14ac:dyDescent="0.35">
      <c r="A78" s="2" t="s">
        <v>416</v>
      </c>
      <c r="B78" s="2" t="s">
        <v>4</v>
      </c>
      <c r="C78" s="3">
        <v>990.03</v>
      </c>
      <c r="D78" s="1">
        <v>1110</v>
      </c>
      <c r="E78" t="s">
        <v>1448</v>
      </c>
    </row>
    <row r="79" spans="1:5" x14ac:dyDescent="0.35">
      <c r="A79" s="2" t="s">
        <v>417</v>
      </c>
      <c r="B79" s="2" t="s">
        <v>374</v>
      </c>
      <c r="C79" s="3">
        <v>129.97</v>
      </c>
      <c r="D79" s="1">
        <v>150</v>
      </c>
      <c r="E79" s="2" t="s">
        <v>1449</v>
      </c>
    </row>
    <row r="80" spans="1:5" x14ac:dyDescent="0.35">
      <c r="A80" s="2" t="s">
        <v>417</v>
      </c>
      <c r="B80" s="2" t="s">
        <v>5</v>
      </c>
      <c r="C80" s="3">
        <v>268.2</v>
      </c>
      <c r="D80" s="1">
        <v>310</v>
      </c>
      <c r="E80" s="2" t="s">
        <v>1449</v>
      </c>
    </row>
    <row r="81" spans="1:5" x14ac:dyDescent="0.35">
      <c r="A81" s="2" t="s">
        <v>417</v>
      </c>
      <c r="B81" s="2" t="s">
        <v>4</v>
      </c>
      <c r="C81" s="3">
        <v>516.4</v>
      </c>
      <c r="D81" s="1">
        <v>580</v>
      </c>
      <c r="E81" s="2" t="s">
        <v>1449</v>
      </c>
    </row>
    <row r="82" spans="1:5" x14ac:dyDescent="0.35">
      <c r="A82" s="2" t="s">
        <v>418</v>
      </c>
      <c r="B82" s="2" t="s">
        <v>374</v>
      </c>
      <c r="C82" s="3">
        <v>225.3</v>
      </c>
      <c r="D82" s="1">
        <v>260</v>
      </c>
      <c r="E82" s="2" t="s">
        <v>1450</v>
      </c>
    </row>
    <row r="83" spans="1:5" x14ac:dyDescent="0.35">
      <c r="A83" s="2" t="s">
        <v>16</v>
      </c>
      <c r="B83" s="2" t="s">
        <v>5</v>
      </c>
      <c r="C83" s="3">
        <v>438.63</v>
      </c>
      <c r="D83" s="1">
        <v>500</v>
      </c>
      <c r="E83" s="2" t="s">
        <v>1450</v>
      </c>
    </row>
    <row r="84" spans="1:5" x14ac:dyDescent="0.35">
      <c r="A84" s="2" t="s">
        <v>418</v>
      </c>
      <c r="B84" s="2" t="s">
        <v>4</v>
      </c>
      <c r="C84" s="3">
        <v>857.23</v>
      </c>
      <c r="D84" s="1">
        <v>970</v>
      </c>
      <c r="E84" s="2" t="s">
        <v>1450</v>
      </c>
    </row>
    <row r="85" spans="1:5" x14ac:dyDescent="0.35">
      <c r="A85" s="2" t="s">
        <v>419</v>
      </c>
      <c r="B85" s="2" t="s">
        <v>376</v>
      </c>
      <c r="C85" s="3">
        <v>121.08</v>
      </c>
      <c r="D85" s="1">
        <v>140</v>
      </c>
      <c r="E85" s="2" t="s">
        <v>1450</v>
      </c>
    </row>
    <row r="86" spans="1:5" x14ac:dyDescent="0.35">
      <c r="A86" s="2" t="s">
        <v>420</v>
      </c>
      <c r="B86" s="2" t="s">
        <v>4</v>
      </c>
      <c r="C86" s="3">
        <v>1627.97</v>
      </c>
      <c r="D86" s="1">
        <v>1830</v>
      </c>
      <c r="E86" t="s">
        <v>1451</v>
      </c>
    </row>
    <row r="87" spans="1:5" x14ac:dyDescent="0.35">
      <c r="A87" s="2" t="s">
        <v>17</v>
      </c>
      <c r="B87" s="2" t="s">
        <v>4</v>
      </c>
      <c r="C87" s="3">
        <v>2017.92</v>
      </c>
      <c r="D87" s="1">
        <v>2270</v>
      </c>
      <c r="E87" t="s">
        <v>1452</v>
      </c>
    </row>
    <row r="88" spans="1:5" x14ac:dyDescent="0.35">
      <c r="A88" s="2" t="s">
        <v>421</v>
      </c>
      <c r="B88" s="2" t="s">
        <v>4</v>
      </c>
      <c r="C88" s="3">
        <v>3279.34</v>
      </c>
      <c r="D88" s="1">
        <v>3680</v>
      </c>
      <c r="E88" t="s">
        <v>1453</v>
      </c>
    </row>
    <row r="89" spans="1:5" x14ac:dyDescent="0.35">
      <c r="A89" s="2" t="s">
        <v>422</v>
      </c>
      <c r="B89" s="2" t="s">
        <v>4</v>
      </c>
      <c r="C89" s="3">
        <v>4289.2</v>
      </c>
      <c r="D89" s="1">
        <v>4810</v>
      </c>
      <c r="E89" t="s">
        <v>1454</v>
      </c>
    </row>
    <row r="90" spans="1:5" x14ac:dyDescent="0.35">
      <c r="A90" s="2" t="s">
        <v>423</v>
      </c>
      <c r="B90" s="2" t="s">
        <v>4</v>
      </c>
      <c r="C90" s="3">
        <v>3210.51</v>
      </c>
      <c r="D90" s="1">
        <v>3600</v>
      </c>
      <c r="E90" s="2" t="s">
        <v>1455</v>
      </c>
    </row>
    <row r="91" spans="1:5" x14ac:dyDescent="0.35">
      <c r="A91" s="2" t="s">
        <v>424</v>
      </c>
      <c r="B91" s="2" t="s">
        <v>374</v>
      </c>
      <c r="C91" s="3">
        <v>182.21</v>
      </c>
      <c r="D91" s="1">
        <v>210</v>
      </c>
      <c r="E91" t="s">
        <v>1456</v>
      </c>
    </row>
    <row r="92" spans="1:5" x14ac:dyDescent="0.35">
      <c r="A92" s="2" t="s">
        <v>425</v>
      </c>
      <c r="B92" s="2" t="s">
        <v>5</v>
      </c>
      <c r="C92" s="3">
        <v>358.15</v>
      </c>
      <c r="D92" s="1">
        <v>410</v>
      </c>
      <c r="E92" t="s">
        <v>1456</v>
      </c>
    </row>
    <row r="93" spans="1:5" x14ac:dyDescent="0.35">
      <c r="A93" s="2" t="s">
        <v>426</v>
      </c>
      <c r="B93" s="2" t="s">
        <v>4</v>
      </c>
      <c r="C93" s="3">
        <v>701.36</v>
      </c>
      <c r="D93" s="1">
        <v>790</v>
      </c>
      <c r="E93" t="s">
        <v>1456</v>
      </c>
    </row>
    <row r="94" spans="1:5" x14ac:dyDescent="0.35">
      <c r="A94" s="2" t="s">
        <v>427</v>
      </c>
      <c r="B94" s="2" t="s">
        <v>374</v>
      </c>
      <c r="C94" s="3">
        <v>168.54</v>
      </c>
      <c r="D94" s="1">
        <v>190</v>
      </c>
      <c r="E94" s="2" t="s">
        <v>1457</v>
      </c>
    </row>
    <row r="95" spans="1:5" x14ac:dyDescent="0.35">
      <c r="A95" s="2" t="s">
        <v>427</v>
      </c>
      <c r="B95" s="2" t="s">
        <v>5</v>
      </c>
      <c r="C95" s="3">
        <v>333.97</v>
      </c>
      <c r="D95" s="1">
        <v>380</v>
      </c>
      <c r="E95" s="2" t="s">
        <v>1457</v>
      </c>
    </row>
    <row r="96" spans="1:5" x14ac:dyDescent="0.35">
      <c r="A96" s="2" t="s">
        <v>427</v>
      </c>
      <c r="B96" s="2" t="s">
        <v>4</v>
      </c>
      <c r="C96" s="3">
        <v>657.24</v>
      </c>
      <c r="D96" s="1">
        <v>740</v>
      </c>
      <c r="E96" s="2" t="s">
        <v>1457</v>
      </c>
    </row>
    <row r="97" spans="1:5" x14ac:dyDescent="0.35">
      <c r="A97" s="2" t="s">
        <v>428</v>
      </c>
      <c r="B97" s="2" t="s">
        <v>374</v>
      </c>
      <c r="C97" s="3">
        <v>168.15</v>
      </c>
      <c r="D97" s="1">
        <v>190</v>
      </c>
      <c r="E97" s="2" t="s">
        <v>1458</v>
      </c>
    </row>
    <row r="98" spans="1:5" x14ac:dyDescent="0.35">
      <c r="A98" s="2" t="s">
        <v>428</v>
      </c>
      <c r="B98" s="2" t="s">
        <v>5</v>
      </c>
      <c r="C98" s="3">
        <v>334.46</v>
      </c>
      <c r="D98" s="1">
        <v>380</v>
      </c>
      <c r="E98" s="2" t="s">
        <v>1458</v>
      </c>
    </row>
    <row r="99" spans="1:5" x14ac:dyDescent="0.35">
      <c r="A99" s="2" t="s">
        <v>428</v>
      </c>
      <c r="B99" s="2" t="s">
        <v>4</v>
      </c>
      <c r="C99" s="3">
        <v>656.97</v>
      </c>
      <c r="D99" s="1">
        <v>740</v>
      </c>
      <c r="E99" s="2" t="s">
        <v>1458</v>
      </c>
    </row>
    <row r="100" spans="1:5" x14ac:dyDescent="0.35">
      <c r="A100" s="2" t="s">
        <v>429</v>
      </c>
      <c r="B100" s="2" t="s">
        <v>374</v>
      </c>
      <c r="C100" s="3">
        <v>177.62</v>
      </c>
      <c r="D100" s="1">
        <v>200</v>
      </c>
      <c r="E100" t="s">
        <v>1459</v>
      </c>
    </row>
    <row r="101" spans="1:5" x14ac:dyDescent="0.35">
      <c r="A101" s="2" t="s">
        <v>430</v>
      </c>
      <c r="B101" s="2" t="s">
        <v>5</v>
      </c>
      <c r="C101" s="3">
        <v>353.16</v>
      </c>
      <c r="D101" s="1">
        <v>400</v>
      </c>
      <c r="E101" t="s">
        <v>1459</v>
      </c>
    </row>
    <row r="102" spans="1:5" x14ac:dyDescent="0.35">
      <c r="A102" s="2" t="s">
        <v>431</v>
      </c>
      <c r="B102" s="2" t="s">
        <v>4</v>
      </c>
      <c r="C102" s="3">
        <v>696.77</v>
      </c>
      <c r="D102" s="1">
        <v>790</v>
      </c>
      <c r="E102" t="s">
        <v>1459</v>
      </c>
    </row>
    <row r="103" spans="1:5" x14ac:dyDescent="0.35">
      <c r="A103" s="2" t="s">
        <v>432</v>
      </c>
      <c r="B103" s="2" t="s">
        <v>374</v>
      </c>
      <c r="C103" s="3">
        <v>158.66999999999999</v>
      </c>
      <c r="D103" s="1">
        <v>180</v>
      </c>
      <c r="E103" s="2" t="s">
        <v>1460</v>
      </c>
    </row>
    <row r="104" spans="1:5" x14ac:dyDescent="0.35">
      <c r="A104" s="2" t="s">
        <v>432</v>
      </c>
      <c r="B104" s="2" t="s">
        <v>5</v>
      </c>
      <c r="C104" s="3">
        <v>305.56</v>
      </c>
      <c r="D104" s="1">
        <v>350</v>
      </c>
      <c r="E104" s="2" t="s">
        <v>1460</v>
      </c>
    </row>
    <row r="105" spans="1:5" x14ac:dyDescent="0.35">
      <c r="A105" s="2" t="s">
        <v>432</v>
      </c>
      <c r="B105" s="2" t="s">
        <v>4</v>
      </c>
      <c r="C105" s="3">
        <v>591.11</v>
      </c>
      <c r="D105" s="1">
        <v>670</v>
      </c>
      <c r="E105" s="2" t="s">
        <v>1460</v>
      </c>
    </row>
    <row r="106" spans="1:5" x14ac:dyDescent="0.35">
      <c r="A106" s="2" t="s">
        <v>433</v>
      </c>
      <c r="B106" s="2" t="s">
        <v>374</v>
      </c>
      <c r="C106" s="3">
        <v>139.63999999999999</v>
      </c>
      <c r="D106" s="1">
        <v>160</v>
      </c>
      <c r="E106" s="2" t="s">
        <v>1461</v>
      </c>
    </row>
    <row r="107" spans="1:5" x14ac:dyDescent="0.35">
      <c r="A107" s="2" t="s">
        <v>433</v>
      </c>
      <c r="B107" s="2" t="s">
        <v>5</v>
      </c>
      <c r="C107" s="3">
        <v>277.55</v>
      </c>
      <c r="D107" s="1">
        <v>320</v>
      </c>
      <c r="E107" s="2" t="s">
        <v>1461</v>
      </c>
    </row>
    <row r="108" spans="1:5" x14ac:dyDescent="0.35">
      <c r="A108" s="2" t="s">
        <v>433</v>
      </c>
      <c r="B108" s="2" t="s">
        <v>4</v>
      </c>
      <c r="C108" s="3">
        <v>535.08000000000004</v>
      </c>
      <c r="D108" s="1">
        <v>600</v>
      </c>
      <c r="E108" s="2" t="s">
        <v>1461</v>
      </c>
    </row>
    <row r="109" spans="1:5" x14ac:dyDescent="0.35">
      <c r="A109" s="2" t="s">
        <v>434</v>
      </c>
      <c r="B109" s="2" t="s">
        <v>374</v>
      </c>
      <c r="C109" s="3">
        <v>177.38</v>
      </c>
      <c r="D109" s="1">
        <v>200</v>
      </c>
      <c r="E109" s="2" t="s">
        <v>1462</v>
      </c>
    </row>
    <row r="110" spans="1:5" x14ac:dyDescent="0.35">
      <c r="A110" s="2" t="s">
        <v>434</v>
      </c>
      <c r="B110" s="2" t="s">
        <v>5</v>
      </c>
      <c r="C110" s="3">
        <v>352.94</v>
      </c>
      <c r="D110" s="1">
        <v>400</v>
      </c>
      <c r="E110" s="2" t="s">
        <v>1462</v>
      </c>
    </row>
    <row r="111" spans="1:5" x14ac:dyDescent="0.35">
      <c r="A111" s="2" t="s">
        <v>434</v>
      </c>
      <c r="B111" s="2" t="s">
        <v>4</v>
      </c>
      <c r="C111" s="3">
        <v>695.19</v>
      </c>
      <c r="D111" s="1">
        <v>780</v>
      </c>
      <c r="E111" s="2" t="s">
        <v>1462</v>
      </c>
    </row>
    <row r="112" spans="1:5" x14ac:dyDescent="0.35">
      <c r="A112" s="2" t="s">
        <v>18</v>
      </c>
      <c r="B112" s="2" t="s">
        <v>374</v>
      </c>
      <c r="C112" s="3">
        <v>186.8</v>
      </c>
      <c r="D112" s="1">
        <v>210</v>
      </c>
      <c r="E112" t="s">
        <v>1463</v>
      </c>
    </row>
    <row r="113" spans="1:5" x14ac:dyDescent="0.35">
      <c r="A113" s="2" t="s">
        <v>19</v>
      </c>
      <c r="B113" s="2" t="s">
        <v>5</v>
      </c>
      <c r="C113" s="3">
        <v>371.62</v>
      </c>
      <c r="D113" s="1">
        <v>420</v>
      </c>
      <c r="E113" t="s">
        <v>1463</v>
      </c>
    </row>
    <row r="114" spans="1:5" x14ac:dyDescent="0.35">
      <c r="A114" s="2" t="s">
        <v>20</v>
      </c>
      <c r="B114" s="2" t="s">
        <v>4</v>
      </c>
      <c r="C114" s="3">
        <v>733.24</v>
      </c>
      <c r="D114" s="1">
        <v>830</v>
      </c>
      <c r="E114" t="s">
        <v>1463</v>
      </c>
    </row>
    <row r="115" spans="1:5" x14ac:dyDescent="0.35">
      <c r="A115" s="2" t="s">
        <v>435</v>
      </c>
      <c r="B115" s="2" t="s">
        <v>374</v>
      </c>
      <c r="C115" s="3">
        <v>102.94</v>
      </c>
      <c r="D115" s="1">
        <v>120</v>
      </c>
      <c r="E115" s="2" t="s">
        <v>1464</v>
      </c>
    </row>
    <row r="116" spans="1:5" x14ac:dyDescent="0.35">
      <c r="A116" s="2" t="s">
        <v>435</v>
      </c>
      <c r="B116" s="2" t="s">
        <v>5</v>
      </c>
      <c r="C116" s="3">
        <v>204.04</v>
      </c>
      <c r="D116" s="1">
        <v>230</v>
      </c>
      <c r="E116" s="2" t="s">
        <v>1464</v>
      </c>
    </row>
    <row r="117" spans="1:5" x14ac:dyDescent="0.35">
      <c r="A117" s="2" t="s">
        <v>435</v>
      </c>
      <c r="B117" s="2" t="s">
        <v>4</v>
      </c>
      <c r="C117" s="3">
        <v>388.07</v>
      </c>
      <c r="D117" s="1">
        <v>440</v>
      </c>
      <c r="E117" s="2" t="s">
        <v>1464</v>
      </c>
    </row>
    <row r="118" spans="1:5" x14ac:dyDescent="0.35">
      <c r="A118" s="2" t="s">
        <v>436</v>
      </c>
      <c r="B118" s="2" t="s">
        <v>4</v>
      </c>
      <c r="C118" s="3">
        <v>2452.87</v>
      </c>
      <c r="D118" s="1">
        <v>2750</v>
      </c>
      <c r="E118" t="s">
        <v>1465</v>
      </c>
    </row>
    <row r="119" spans="1:5" x14ac:dyDescent="0.35">
      <c r="A119" s="2" t="s">
        <v>21</v>
      </c>
      <c r="B119" s="2" t="s">
        <v>374</v>
      </c>
      <c r="C119" s="3">
        <v>452.98</v>
      </c>
      <c r="D119" s="1">
        <v>510</v>
      </c>
      <c r="E119" t="s">
        <v>1466</v>
      </c>
    </row>
    <row r="120" spans="1:5" x14ac:dyDescent="0.35">
      <c r="A120" s="2" t="s">
        <v>22</v>
      </c>
      <c r="B120" s="2" t="s">
        <v>374</v>
      </c>
      <c r="C120" s="3">
        <v>199.53</v>
      </c>
      <c r="D120" s="1">
        <v>230</v>
      </c>
      <c r="E120" t="s">
        <v>1466</v>
      </c>
    </row>
    <row r="121" spans="1:5" x14ac:dyDescent="0.35">
      <c r="A121" s="2" t="s">
        <v>23</v>
      </c>
      <c r="B121" s="2" t="s">
        <v>4</v>
      </c>
      <c r="C121" s="3">
        <v>1619.03</v>
      </c>
      <c r="D121" s="1">
        <v>1820</v>
      </c>
      <c r="E121" t="s">
        <v>1466</v>
      </c>
    </row>
    <row r="122" spans="1:5" x14ac:dyDescent="0.35">
      <c r="A122" s="2" t="s">
        <v>437</v>
      </c>
      <c r="B122" s="2" t="s">
        <v>5</v>
      </c>
      <c r="C122" s="3">
        <v>850.58</v>
      </c>
      <c r="D122" s="1">
        <v>960</v>
      </c>
      <c r="E122" t="s">
        <v>1467</v>
      </c>
    </row>
    <row r="123" spans="1:5" x14ac:dyDescent="0.35">
      <c r="A123" s="2" t="s">
        <v>24</v>
      </c>
      <c r="B123" s="2" t="s">
        <v>4</v>
      </c>
      <c r="C123" s="3">
        <v>6227.02</v>
      </c>
      <c r="D123" s="1">
        <v>6980</v>
      </c>
      <c r="E123" t="s">
        <v>1468</v>
      </c>
    </row>
    <row r="124" spans="1:5" x14ac:dyDescent="0.35">
      <c r="A124" s="2" t="s">
        <v>25</v>
      </c>
      <c r="B124" s="2" t="s">
        <v>4</v>
      </c>
      <c r="C124" s="3">
        <v>5885.36</v>
      </c>
      <c r="D124" s="1">
        <v>6600</v>
      </c>
      <c r="E124" t="s">
        <v>1469</v>
      </c>
    </row>
    <row r="125" spans="1:5" x14ac:dyDescent="0.35">
      <c r="A125" s="2" t="s">
        <v>26</v>
      </c>
      <c r="B125" s="2" t="s">
        <v>4</v>
      </c>
      <c r="C125" s="3">
        <v>1097.23</v>
      </c>
      <c r="D125" s="1">
        <v>1230</v>
      </c>
      <c r="E125" s="2" t="s">
        <v>1470</v>
      </c>
    </row>
    <row r="126" spans="1:5" x14ac:dyDescent="0.35">
      <c r="A126" s="2" t="s">
        <v>438</v>
      </c>
      <c r="B126" s="2" t="s">
        <v>4</v>
      </c>
      <c r="C126" s="3">
        <v>1106.5</v>
      </c>
      <c r="D126" s="1">
        <v>1240</v>
      </c>
      <c r="E126" s="2" t="s">
        <v>1471</v>
      </c>
    </row>
    <row r="127" spans="1:5" x14ac:dyDescent="0.35">
      <c r="A127" s="2" t="s">
        <v>27</v>
      </c>
      <c r="B127" s="2" t="s">
        <v>4</v>
      </c>
      <c r="C127" s="3">
        <v>4157.05</v>
      </c>
      <c r="D127" s="1">
        <v>4660</v>
      </c>
      <c r="E127" s="2" t="s">
        <v>1472</v>
      </c>
    </row>
    <row r="128" spans="1:5" x14ac:dyDescent="0.35">
      <c r="A128" s="2" t="s">
        <v>439</v>
      </c>
      <c r="B128" s="2" t="s">
        <v>374</v>
      </c>
      <c r="C128" s="3">
        <v>129.9</v>
      </c>
      <c r="D128" s="1">
        <v>150</v>
      </c>
      <c r="E128" s="2" t="s">
        <v>1473</v>
      </c>
    </row>
    <row r="129" spans="1:5" x14ac:dyDescent="0.35">
      <c r="A129" s="2" t="s">
        <v>439</v>
      </c>
      <c r="B129" s="2" t="s">
        <v>5</v>
      </c>
      <c r="C129" s="3">
        <v>268.10000000000002</v>
      </c>
      <c r="D129" s="1">
        <v>310</v>
      </c>
      <c r="E129" s="2" t="s">
        <v>1473</v>
      </c>
    </row>
    <row r="130" spans="1:5" x14ac:dyDescent="0.35">
      <c r="A130" s="2" t="s">
        <v>439</v>
      </c>
      <c r="B130" s="2" t="s">
        <v>4</v>
      </c>
      <c r="C130" s="3">
        <v>526.20000000000005</v>
      </c>
      <c r="D130" s="1">
        <v>590</v>
      </c>
      <c r="E130" s="2" t="s">
        <v>1473</v>
      </c>
    </row>
    <row r="131" spans="1:5" x14ac:dyDescent="0.35">
      <c r="A131" s="2" t="s">
        <v>440</v>
      </c>
      <c r="B131" s="2" t="s">
        <v>4</v>
      </c>
      <c r="C131" s="3">
        <v>1503.92</v>
      </c>
      <c r="D131" s="1">
        <v>1690</v>
      </c>
      <c r="E131" s="2" t="s">
        <v>1474</v>
      </c>
    </row>
    <row r="132" spans="1:5" x14ac:dyDescent="0.35">
      <c r="A132" s="2" t="s">
        <v>441</v>
      </c>
      <c r="B132" s="2" t="s">
        <v>4</v>
      </c>
      <c r="C132" s="3">
        <v>978.36</v>
      </c>
      <c r="D132" s="1">
        <v>1100</v>
      </c>
      <c r="E132" s="2" t="s">
        <v>1475</v>
      </c>
    </row>
    <row r="133" spans="1:5" x14ac:dyDescent="0.35">
      <c r="A133" s="2" t="s">
        <v>442</v>
      </c>
      <c r="B133" s="2" t="s">
        <v>4</v>
      </c>
      <c r="C133" s="3">
        <v>1583.29</v>
      </c>
      <c r="D133" s="1">
        <v>1780</v>
      </c>
      <c r="E133" s="2" t="s">
        <v>1476</v>
      </c>
    </row>
    <row r="134" spans="1:5" x14ac:dyDescent="0.35">
      <c r="A134" s="2" t="s">
        <v>28</v>
      </c>
      <c r="B134" s="2" t="s">
        <v>4</v>
      </c>
      <c r="C134" s="3">
        <v>3122.37</v>
      </c>
      <c r="D134" s="1">
        <v>3500</v>
      </c>
      <c r="E134" s="2" t="s">
        <v>1477</v>
      </c>
    </row>
    <row r="135" spans="1:5" x14ac:dyDescent="0.35">
      <c r="A135" s="2" t="s">
        <v>443</v>
      </c>
      <c r="B135" s="2" t="s">
        <v>4</v>
      </c>
      <c r="C135" s="3">
        <v>5634.57</v>
      </c>
      <c r="D135" s="1">
        <v>6320</v>
      </c>
      <c r="E135" s="2" t="s">
        <v>1478</v>
      </c>
    </row>
    <row r="136" spans="1:5" x14ac:dyDescent="0.35">
      <c r="A136" s="2" t="s">
        <v>29</v>
      </c>
      <c r="B136" s="2" t="s">
        <v>4</v>
      </c>
      <c r="C136" s="3">
        <v>5596.67</v>
      </c>
      <c r="D136" s="1">
        <v>6270</v>
      </c>
      <c r="E136" s="2" t="s">
        <v>1479</v>
      </c>
    </row>
    <row r="137" spans="1:5" x14ac:dyDescent="0.35">
      <c r="A137" s="2" t="s">
        <v>444</v>
      </c>
      <c r="B137" s="2" t="s">
        <v>4</v>
      </c>
      <c r="C137" s="3">
        <v>3693.76</v>
      </c>
      <c r="D137" s="1">
        <v>4140</v>
      </c>
      <c r="E137" s="2" t="s">
        <v>1480</v>
      </c>
    </row>
    <row r="138" spans="1:5" x14ac:dyDescent="0.35">
      <c r="A138" s="2" t="s">
        <v>30</v>
      </c>
      <c r="B138" s="2" t="s">
        <v>4</v>
      </c>
      <c r="C138" s="3">
        <v>6477.27</v>
      </c>
      <c r="D138" s="1">
        <v>7260</v>
      </c>
      <c r="E138" s="2" t="s">
        <v>1481</v>
      </c>
    </row>
    <row r="139" spans="1:5" x14ac:dyDescent="0.35">
      <c r="A139" s="2" t="s">
        <v>445</v>
      </c>
      <c r="B139" s="2" t="s">
        <v>374</v>
      </c>
      <c r="C139" s="3">
        <v>177.45</v>
      </c>
      <c r="D139" s="1">
        <v>200</v>
      </c>
      <c r="E139" t="s">
        <v>1482</v>
      </c>
    </row>
    <row r="140" spans="1:5" x14ac:dyDescent="0.35">
      <c r="A140" s="2" t="s">
        <v>446</v>
      </c>
      <c r="B140" s="2" t="s">
        <v>5</v>
      </c>
      <c r="C140" s="3">
        <v>353.03</v>
      </c>
      <c r="D140" s="1">
        <v>400</v>
      </c>
      <c r="E140" t="s">
        <v>1482</v>
      </c>
    </row>
    <row r="141" spans="1:5" x14ac:dyDescent="0.35">
      <c r="A141" s="2" t="s">
        <v>447</v>
      </c>
      <c r="B141" s="2" t="s">
        <v>4</v>
      </c>
      <c r="C141" s="3">
        <v>686.05</v>
      </c>
      <c r="D141" s="1">
        <v>770</v>
      </c>
      <c r="E141" t="s">
        <v>1482</v>
      </c>
    </row>
    <row r="142" spans="1:5" x14ac:dyDescent="0.35">
      <c r="A142" s="2" t="s">
        <v>31</v>
      </c>
      <c r="B142" s="2" t="s">
        <v>374</v>
      </c>
      <c r="C142" s="3">
        <v>120.82</v>
      </c>
      <c r="D142" s="1">
        <v>140</v>
      </c>
      <c r="E142" t="s">
        <v>1483</v>
      </c>
    </row>
    <row r="143" spans="1:5" x14ac:dyDescent="0.35">
      <c r="A143" s="2" t="s">
        <v>32</v>
      </c>
      <c r="B143" s="2" t="s">
        <v>5</v>
      </c>
      <c r="C143" s="3">
        <v>270.02</v>
      </c>
      <c r="D143" s="1">
        <v>310</v>
      </c>
      <c r="E143" t="s">
        <v>1483</v>
      </c>
    </row>
    <row r="144" spans="1:5" x14ac:dyDescent="0.35">
      <c r="A144" s="2" t="s">
        <v>33</v>
      </c>
      <c r="B144" s="2" t="s">
        <v>374</v>
      </c>
      <c r="C144" s="3">
        <v>340.41</v>
      </c>
      <c r="D144" s="1">
        <v>390</v>
      </c>
      <c r="E144" t="s">
        <v>1484</v>
      </c>
    </row>
    <row r="145" spans="1:5" x14ac:dyDescent="0.35">
      <c r="A145" s="2" t="s">
        <v>34</v>
      </c>
      <c r="B145" s="2" t="s">
        <v>5</v>
      </c>
      <c r="C145" s="3">
        <v>698.42</v>
      </c>
      <c r="D145" s="1">
        <v>790</v>
      </c>
      <c r="E145" t="s">
        <v>1484</v>
      </c>
    </row>
    <row r="146" spans="1:5" x14ac:dyDescent="0.35">
      <c r="A146" s="2" t="s">
        <v>35</v>
      </c>
      <c r="B146" s="2" t="s">
        <v>4</v>
      </c>
      <c r="C146" s="3">
        <v>1386.78</v>
      </c>
      <c r="D146" s="1">
        <v>1560</v>
      </c>
      <c r="E146" t="s">
        <v>1484</v>
      </c>
    </row>
    <row r="147" spans="1:5" x14ac:dyDescent="0.35">
      <c r="A147" s="2" t="s">
        <v>36</v>
      </c>
      <c r="B147" s="2" t="s">
        <v>4</v>
      </c>
      <c r="C147" s="3">
        <v>3673.12</v>
      </c>
      <c r="D147" s="1">
        <v>4120</v>
      </c>
      <c r="E147" t="s">
        <v>1485</v>
      </c>
    </row>
    <row r="148" spans="1:5" x14ac:dyDescent="0.35">
      <c r="A148" s="2" t="s">
        <v>448</v>
      </c>
      <c r="B148" s="2" t="s">
        <v>374</v>
      </c>
      <c r="C148" s="3">
        <v>514.85</v>
      </c>
      <c r="D148" s="1">
        <v>580</v>
      </c>
      <c r="E148" t="s">
        <v>1486</v>
      </c>
    </row>
    <row r="149" spans="1:5" x14ac:dyDescent="0.35">
      <c r="A149" s="2" t="s">
        <v>449</v>
      </c>
      <c r="B149" s="2" t="s">
        <v>5</v>
      </c>
      <c r="C149" s="3">
        <v>1057.17</v>
      </c>
      <c r="D149" s="1">
        <v>1190</v>
      </c>
      <c r="E149" t="s">
        <v>1486</v>
      </c>
    </row>
    <row r="150" spans="1:5" x14ac:dyDescent="0.35">
      <c r="A150" s="2" t="s">
        <v>450</v>
      </c>
      <c r="B150" s="2" t="s">
        <v>4</v>
      </c>
      <c r="C150" s="3">
        <v>2054.91</v>
      </c>
      <c r="D150" s="1">
        <v>2310</v>
      </c>
      <c r="E150" t="s">
        <v>1486</v>
      </c>
    </row>
    <row r="151" spans="1:5" x14ac:dyDescent="0.35">
      <c r="A151" s="2" t="s">
        <v>37</v>
      </c>
      <c r="B151" s="2" t="s">
        <v>4</v>
      </c>
      <c r="C151" s="3">
        <v>2924.74</v>
      </c>
      <c r="D151" s="1">
        <v>3280</v>
      </c>
      <c r="E151" t="s">
        <v>1487</v>
      </c>
    </row>
    <row r="152" spans="1:5" x14ac:dyDescent="0.35">
      <c r="A152" s="2" t="s">
        <v>451</v>
      </c>
      <c r="B152" s="2" t="s">
        <v>374</v>
      </c>
      <c r="C152" s="3">
        <v>378.95</v>
      </c>
      <c r="D152" s="1">
        <v>430</v>
      </c>
      <c r="E152" t="s">
        <v>1488</v>
      </c>
    </row>
    <row r="153" spans="1:5" x14ac:dyDescent="0.35">
      <c r="A153" s="2" t="s">
        <v>452</v>
      </c>
      <c r="B153" s="2" t="s">
        <v>5</v>
      </c>
      <c r="C153" s="3">
        <v>775.38</v>
      </c>
      <c r="D153" s="1">
        <v>870</v>
      </c>
      <c r="E153" t="s">
        <v>1488</v>
      </c>
    </row>
    <row r="154" spans="1:5" x14ac:dyDescent="0.35">
      <c r="A154" s="2" t="s">
        <v>453</v>
      </c>
      <c r="B154" s="2" t="s">
        <v>4</v>
      </c>
      <c r="C154" s="3">
        <v>1540.86</v>
      </c>
      <c r="D154" s="1">
        <v>1730</v>
      </c>
      <c r="E154" t="s">
        <v>1488</v>
      </c>
    </row>
    <row r="155" spans="1:5" x14ac:dyDescent="0.35">
      <c r="A155" s="2" t="s">
        <v>454</v>
      </c>
      <c r="B155" s="2" t="s">
        <v>374</v>
      </c>
      <c r="C155" s="3">
        <v>263.17</v>
      </c>
      <c r="D155" s="1">
        <v>300</v>
      </c>
      <c r="E155" t="s">
        <v>1489</v>
      </c>
    </row>
    <row r="156" spans="1:5" x14ac:dyDescent="0.35">
      <c r="A156" s="2" t="s">
        <v>38</v>
      </c>
      <c r="B156" s="2" t="s">
        <v>4</v>
      </c>
      <c r="C156" s="3">
        <v>1028.2</v>
      </c>
      <c r="D156" s="1">
        <v>1160</v>
      </c>
      <c r="E156" t="s">
        <v>1489</v>
      </c>
    </row>
    <row r="157" spans="1:5" x14ac:dyDescent="0.35">
      <c r="A157" s="2" t="s">
        <v>39</v>
      </c>
      <c r="B157" s="2" t="s">
        <v>4</v>
      </c>
      <c r="C157" s="3">
        <v>1706.55</v>
      </c>
      <c r="D157" s="1">
        <v>1920</v>
      </c>
      <c r="E157" t="s">
        <v>1490</v>
      </c>
    </row>
    <row r="158" spans="1:5" x14ac:dyDescent="0.35">
      <c r="A158" s="2" t="s">
        <v>455</v>
      </c>
      <c r="B158" s="2" t="s">
        <v>4</v>
      </c>
      <c r="C158" s="3">
        <v>1724</v>
      </c>
      <c r="D158" s="1">
        <v>1940</v>
      </c>
      <c r="E158" t="s">
        <v>1491</v>
      </c>
    </row>
    <row r="159" spans="1:5" x14ac:dyDescent="0.35">
      <c r="A159" s="2" t="s">
        <v>456</v>
      </c>
      <c r="B159" s="2" t="s">
        <v>374</v>
      </c>
      <c r="C159" s="3">
        <v>215.36</v>
      </c>
      <c r="D159" s="1">
        <v>250</v>
      </c>
      <c r="E159" t="s">
        <v>1492</v>
      </c>
    </row>
    <row r="160" spans="1:5" x14ac:dyDescent="0.35">
      <c r="A160" s="2" t="s">
        <v>40</v>
      </c>
      <c r="B160" s="2" t="s">
        <v>5</v>
      </c>
      <c r="C160" s="3">
        <v>428.72</v>
      </c>
      <c r="D160" s="1">
        <v>490</v>
      </c>
      <c r="E160" t="s">
        <v>1492</v>
      </c>
    </row>
    <row r="161" spans="1:5" x14ac:dyDescent="0.35">
      <c r="A161" s="2" t="s">
        <v>457</v>
      </c>
      <c r="B161" s="2" t="s">
        <v>4</v>
      </c>
      <c r="C161" s="3">
        <v>837.45</v>
      </c>
      <c r="D161" s="1">
        <v>940</v>
      </c>
      <c r="E161" t="s">
        <v>1492</v>
      </c>
    </row>
    <row r="162" spans="1:5" x14ac:dyDescent="0.35">
      <c r="A162" s="2" t="s">
        <v>41</v>
      </c>
      <c r="B162" s="2" t="s">
        <v>376</v>
      </c>
      <c r="C162" s="3">
        <v>107.78</v>
      </c>
      <c r="D162" s="1">
        <v>130</v>
      </c>
      <c r="E162" t="s">
        <v>1492</v>
      </c>
    </row>
    <row r="163" spans="1:5" x14ac:dyDescent="0.35">
      <c r="A163" s="2" t="s">
        <v>458</v>
      </c>
      <c r="B163" s="2" t="s">
        <v>374</v>
      </c>
      <c r="C163" s="3">
        <v>221.26</v>
      </c>
      <c r="D163" s="1">
        <v>250</v>
      </c>
      <c r="E163" t="s">
        <v>1493</v>
      </c>
    </row>
    <row r="164" spans="1:5" x14ac:dyDescent="0.35">
      <c r="A164" s="2" t="s">
        <v>459</v>
      </c>
      <c r="B164" s="2" t="s">
        <v>5</v>
      </c>
      <c r="C164" s="3">
        <v>428.27</v>
      </c>
      <c r="D164" s="1">
        <v>480</v>
      </c>
      <c r="E164" t="s">
        <v>1493</v>
      </c>
    </row>
    <row r="165" spans="1:5" x14ac:dyDescent="0.35">
      <c r="A165" s="2" t="s">
        <v>460</v>
      </c>
      <c r="B165" s="2" t="s">
        <v>4</v>
      </c>
      <c r="C165" s="3">
        <v>2049.63</v>
      </c>
      <c r="D165" s="1">
        <v>2300</v>
      </c>
      <c r="E165" t="s">
        <v>1494</v>
      </c>
    </row>
    <row r="166" spans="1:5" x14ac:dyDescent="0.35">
      <c r="A166" s="2" t="s">
        <v>461</v>
      </c>
      <c r="B166" s="2" t="s">
        <v>4</v>
      </c>
      <c r="C166" s="3">
        <v>4285.95</v>
      </c>
      <c r="D166" s="1">
        <v>4810</v>
      </c>
      <c r="E166" t="s">
        <v>1495</v>
      </c>
    </row>
    <row r="167" spans="1:5" x14ac:dyDescent="0.35">
      <c r="A167" s="2" t="s">
        <v>462</v>
      </c>
      <c r="B167" s="2" t="s">
        <v>374</v>
      </c>
      <c r="C167" s="3">
        <v>167.99</v>
      </c>
      <c r="D167" s="1">
        <v>190</v>
      </c>
      <c r="E167" t="s">
        <v>1496</v>
      </c>
    </row>
    <row r="168" spans="1:5" x14ac:dyDescent="0.35">
      <c r="A168" s="2" t="s">
        <v>463</v>
      </c>
      <c r="B168" s="2" t="s">
        <v>5</v>
      </c>
      <c r="C168" s="3">
        <v>334.15</v>
      </c>
      <c r="D168" s="1">
        <v>380</v>
      </c>
      <c r="E168" t="s">
        <v>1496</v>
      </c>
    </row>
    <row r="169" spans="1:5" x14ac:dyDescent="0.35">
      <c r="A169" s="2" t="s">
        <v>464</v>
      </c>
      <c r="B169" s="2" t="s">
        <v>4</v>
      </c>
      <c r="C169" s="3">
        <v>638.26</v>
      </c>
      <c r="D169" s="1">
        <v>720</v>
      </c>
      <c r="E169" t="s">
        <v>1496</v>
      </c>
    </row>
    <row r="170" spans="1:5" x14ac:dyDescent="0.35">
      <c r="A170" s="2" t="s">
        <v>465</v>
      </c>
      <c r="B170" s="2" t="s">
        <v>374</v>
      </c>
      <c r="C170" s="3">
        <v>177.52</v>
      </c>
      <c r="D170" s="1">
        <v>200</v>
      </c>
      <c r="E170" t="s">
        <v>1497</v>
      </c>
    </row>
    <row r="171" spans="1:5" x14ac:dyDescent="0.35">
      <c r="A171" s="2" t="s">
        <v>466</v>
      </c>
      <c r="B171" s="2" t="s">
        <v>5</v>
      </c>
      <c r="C171" s="3">
        <v>343.17</v>
      </c>
      <c r="D171" s="1">
        <v>390</v>
      </c>
      <c r="E171" t="s">
        <v>1497</v>
      </c>
    </row>
    <row r="172" spans="1:5" x14ac:dyDescent="0.35">
      <c r="A172" s="2" t="s">
        <v>467</v>
      </c>
      <c r="B172" s="2" t="s">
        <v>4</v>
      </c>
      <c r="C172" s="3">
        <v>676.33</v>
      </c>
      <c r="D172" s="1">
        <v>760</v>
      </c>
      <c r="E172" t="s">
        <v>1497</v>
      </c>
    </row>
    <row r="173" spans="1:5" x14ac:dyDescent="0.35">
      <c r="A173" s="2" t="s">
        <v>42</v>
      </c>
      <c r="B173" s="2" t="s">
        <v>4</v>
      </c>
      <c r="C173" s="3">
        <v>3677.11</v>
      </c>
      <c r="D173" s="1">
        <v>4120</v>
      </c>
      <c r="E173" t="s">
        <v>1498</v>
      </c>
    </row>
    <row r="174" spans="1:5" x14ac:dyDescent="0.35">
      <c r="A174" s="2" t="s">
        <v>468</v>
      </c>
      <c r="B174" s="2" t="s">
        <v>374</v>
      </c>
      <c r="C174" s="3">
        <v>224.96</v>
      </c>
      <c r="D174" s="1">
        <v>260</v>
      </c>
      <c r="E174" t="s">
        <v>1499</v>
      </c>
    </row>
    <row r="175" spans="1:5" x14ac:dyDescent="0.35">
      <c r="A175" s="2" t="s">
        <v>469</v>
      </c>
      <c r="B175" s="2" t="s">
        <v>5</v>
      </c>
      <c r="C175" s="3">
        <v>457.91</v>
      </c>
      <c r="D175" s="1">
        <v>520</v>
      </c>
      <c r="E175" t="s">
        <v>1499</v>
      </c>
    </row>
    <row r="176" spans="1:5" x14ac:dyDescent="0.35">
      <c r="A176" s="2" t="s">
        <v>470</v>
      </c>
      <c r="B176" s="2" t="s">
        <v>4</v>
      </c>
      <c r="C176" s="3">
        <v>895.04</v>
      </c>
      <c r="D176" s="1">
        <v>1010</v>
      </c>
      <c r="E176" t="s">
        <v>1499</v>
      </c>
    </row>
    <row r="177" spans="1:5" x14ac:dyDescent="0.35">
      <c r="A177" s="2" t="s">
        <v>471</v>
      </c>
      <c r="B177" s="2" t="s">
        <v>376</v>
      </c>
      <c r="C177" s="3">
        <v>117.31</v>
      </c>
      <c r="D177" s="1">
        <v>140</v>
      </c>
      <c r="E177" t="s">
        <v>1499</v>
      </c>
    </row>
    <row r="178" spans="1:5" x14ac:dyDescent="0.35">
      <c r="A178" s="2" t="s">
        <v>43</v>
      </c>
      <c r="B178" s="2" t="s">
        <v>376</v>
      </c>
      <c r="C178" s="3">
        <v>107.84</v>
      </c>
      <c r="D178" s="1">
        <v>130</v>
      </c>
      <c r="E178" t="s">
        <v>1500</v>
      </c>
    </row>
    <row r="179" spans="1:5" x14ac:dyDescent="0.35">
      <c r="A179" s="2" t="s">
        <v>472</v>
      </c>
      <c r="B179" s="2" t="s">
        <v>374</v>
      </c>
      <c r="C179" s="3">
        <v>215.71</v>
      </c>
      <c r="D179" s="1">
        <v>250</v>
      </c>
      <c r="E179" t="s">
        <v>1500</v>
      </c>
    </row>
    <row r="180" spans="1:5" x14ac:dyDescent="0.35">
      <c r="A180" s="2" t="s">
        <v>44</v>
      </c>
      <c r="B180" s="2" t="s">
        <v>5</v>
      </c>
      <c r="C180" s="3">
        <v>429.39</v>
      </c>
      <c r="D180" s="1">
        <v>490</v>
      </c>
      <c r="E180" t="s">
        <v>1500</v>
      </c>
    </row>
    <row r="181" spans="1:5" x14ac:dyDescent="0.35">
      <c r="A181" s="2" t="s">
        <v>45</v>
      </c>
      <c r="B181" s="2" t="s">
        <v>4</v>
      </c>
      <c r="C181" s="3">
        <v>828.78</v>
      </c>
      <c r="D181" s="1">
        <v>930</v>
      </c>
      <c r="E181" t="s">
        <v>1500</v>
      </c>
    </row>
    <row r="182" spans="1:5" x14ac:dyDescent="0.35">
      <c r="A182" s="2" t="s">
        <v>473</v>
      </c>
      <c r="B182" s="2" t="s">
        <v>374</v>
      </c>
      <c r="C182" s="3">
        <v>234.54</v>
      </c>
      <c r="D182" s="1">
        <v>270</v>
      </c>
      <c r="E182" t="s">
        <v>1501</v>
      </c>
    </row>
    <row r="183" spans="1:5" x14ac:dyDescent="0.35">
      <c r="A183" s="2" t="s">
        <v>473</v>
      </c>
      <c r="B183" s="2" t="s">
        <v>5</v>
      </c>
      <c r="C183" s="3">
        <v>467.17</v>
      </c>
      <c r="D183" s="1">
        <v>530</v>
      </c>
      <c r="E183" t="s">
        <v>1501</v>
      </c>
    </row>
    <row r="184" spans="1:5" x14ac:dyDescent="0.35">
      <c r="A184" s="2" t="s">
        <v>473</v>
      </c>
      <c r="B184" s="2" t="s">
        <v>4</v>
      </c>
      <c r="C184" s="3">
        <v>914.21</v>
      </c>
      <c r="D184" s="1">
        <v>1030</v>
      </c>
      <c r="E184" t="s">
        <v>1501</v>
      </c>
    </row>
    <row r="185" spans="1:5" x14ac:dyDescent="0.35">
      <c r="A185" s="2" t="s">
        <v>46</v>
      </c>
      <c r="B185" s="2" t="s">
        <v>376</v>
      </c>
      <c r="C185" s="3">
        <v>117.2</v>
      </c>
      <c r="D185" s="1">
        <v>140</v>
      </c>
      <c r="E185" t="s">
        <v>1501</v>
      </c>
    </row>
    <row r="186" spans="1:5" x14ac:dyDescent="0.35">
      <c r="A186" s="2" t="s">
        <v>47</v>
      </c>
      <c r="B186" s="2" t="s">
        <v>4</v>
      </c>
      <c r="C186" s="3">
        <v>1370.01</v>
      </c>
      <c r="D186" s="1">
        <v>1540</v>
      </c>
      <c r="E186" t="s">
        <v>1502</v>
      </c>
    </row>
    <row r="187" spans="1:5" x14ac:dyDescent="0.35">
      <c r="A187" s="2" t="s">
        <v>474</v>
      </c>
      <c r="B187" s="2" t="s">
        <v>374</v>
      </c>
      <c r="C187" s="3">
        <v>167.82</v>
      </c>
      <c r="D187" s="1">
        <v>190</v>
      </c>
      <c r="E187" t="s">
        <v>1503</v>
      </c>
    </row>
    <row r="188" spans="1:5" x14ac:dyDescent="0.35">
      <c r="A188" s="2" t="s">
        <v>474</v>
      </c>
      <c r="B188" s="2" t="s">
        <v>5</v>
      </c>
      <c r="C188" s="3">
        <v>333.57</v>
      </c>
      <c r="D188" s="1">
        <v>380</v>
      </c>
      <c r="E188" t="s">
        <v>1503</v>
      </c>
    </row>
    <row r="189" spans="1:5" x14ac:dyDescent="0.35">
      <c r="A189" s="2" t="s">
        <v>474</v>
      </c>
      <c r="B189" s="2" t="s">
        <v>4</v>
      </c>
      <c r="C189" s="3">
        <v>657.69</v>
      </c>
      <c r="D189" s="1">
        <v>740</v>
      </c>
      <c r="E189" t="s">
        <v>1503</v>
      </c>
    </row>
    <row r="190" spans="1:5" x14ac:dyDescent="0.35">
      <c r="A190" s="2" t="s">
        <v>48</v>
      </c>
      <c r="B190" s="2" t="s">
        <v>376</v>
      </c>
      <c r="C190" s="3">
        <v>88.93</v>
      </c>
      <c r="D190" s="1">
        <v>100</v>
      </c>
      <c r="E190" t="s">
        <v>1504</v>
      </c>
    </row>
    <row r="191" spans="1:5" x14ac:dyDescent="0.35">
      <c r="A191" s="2" t="s">
        <v>49</v>
      </c>
      <c r="B191" s="2" t="s">
        <v>4</v>
      </c>
      <c r="C191" s="3">
        <v>1744.12</v>
      </c>
      <c r="D191" s="1">
        <v>1960</v>
      </c>
      <c r="E191" t="s">
        <v>1505</v>
      </c>
    </row>
    <row r="192" spans="1:5" x14ac:dyDescent="0.35">
      <c r="A192" s="2" t="s">
        <v>475</v>
      </c>
      <c r="B192" s="2" t="s">
        <v>4</v>
      </c>
      <c r="C192" s="3">
        <v>2244.75</v>
      </c>
      <c r="D192" s="1">
        <v>2520</v>
      </c>
      <c r="E192" t="s">
        <v>1506</v>
      </c>
    </row>
    <row r="193" spans="1:5" x14ac:dyDescent="0.35">
      <c r="A193" s="2" t="s">
        <v>476</v>
      </c>
      <c r="B193" s="2" t="s">
        <v>4</v>
      </c>
      <c r="C193" s="3">
        <v>2252</v>
      </c>
      <c r="D193" s="1">
        <v>2530</v>
      </c>
      <c r="E193" t="s">
        <v>1507</v>
      </c>
    </row>
    <row r="194" spans="1:5" x14ac:dyDescent="0.35">
      <c r="A194" s="2" t="s">
        <v>477</v>
      </c>
      <c r="B194" s="2" t="s">
        <v>4</v>
      </c>
      <c r="C194" s="3">
        <v>2395.13</v>
      </c>
      <c r="D194" s="1">
        <v>2690</v>
      </c>
      <c r="E194" t="s">
        <v>1508</v>
      </c>
    </row>
    <row r="195" spans="1:5" x14ac:dyDescent="0.35">
      <c r="A195" s="2" t="s">
        <v>478</v>
      </c>
      <c r="B195" s="2" t="s">
        <v>4</v>
      </c>
      <c r="C195" s="3">
        <v>2119.31</v>
      </c>
      <c r="D195" s="1">
        <v>2380</v>
      </c>
      <c r="E195" t="s">
        <v>1509</v>
      </c>
    </row>
    <row r="196" spans="1:5" x14ac:dyDescent="0.35">
      <c r="A196" s="2" t="s">
        <v>479</v>
      </c>
      <c r="B196" s="2" t="s">
        <v>4</v>
      </c>
      <c r="C196" s="3">
        <v>2088.36</v>
      </c>
      <c r="D196" s="1">
        <v>2340</v>
      </c>
      <c r="E196" t="s">
        <v>1510</v>
      </c>
    </row>
    <row r="197" spans="1:5" x14ac:dyDescent="0.35">
      <c r="A197" s="2" t="s">
        <v>480</v>
      </c>
      <c r="B197" s="2" t="s">
        <v>4</v>
      </c>
      <c r="C197" s="3">
        <v>1520.75</v>
      </c>
      <c r="D197" s="1">
        <v>1710</v>
      </c>
      <c r="E197" t="s">
        <v>1511</v>
      </c>
    </row>
    <row r="198" spans="1:5" x14ac:dyDescent="0.35">
      <c r="A198" s="2" t="s">
        <v>50</v>
      </c>
      <c r="B198" s="2" t="s">
        <v>4</v>
      </c>
      <c r="C198" s="3">
        <v>4701</v>
      </c>
      <c r="D198" s="1">
        <v>5270</v>
      </c>
      <c r="E198" t="s">
        <v>1512</v>
      </c>
    </row>
    <row r="199" spans="1:5" x14ac:dyDescent="0.35">
      <c r="A199" s="2" t="s">
        <v>51</v>
      </c>
      <c r="B199" s="2" t="s">
        <v>4</v>
      </c>
      <c r="C199" s="3">
        <v>18358.93</v>
      </c>
      <c r="D199" s="1">
        <v>20570</v>
      </c>
      <c r="E199" t="s">
        <v>1513</v>
      </c>
    </row>
    <row r="200" spans="1:5" x14ac:dyDescent="0.35">
      <c r="A200" s="2" t="s">
        <v>52</v>
      </c>
      <c r="B200" s="2" t="s">
        <v>4</v>
      </c>
      <c r="C200" s="3">
        <v>27468.13</v>
      </c>
      <c r="D200" s="1">
        <v>30770</v>
      </c>
      <c r="E200" t="s">
        <v>1514</v>
      </c>
    </row>
    <row r="201" spans="1:5" x14ac:dyDescent="0.35">
      <c r="A201" s="2" t="s">
        <v>53</v>
      </c>
      <c r="B201" s="2" t="s">
        <v>4</v>
      </c>
      <c r="C201" s="3">
        <v>2026.43</v>
      </c>
      <c r="D201" s="1">
        <v>2270</v>
      </c>
      <c r="E201" t="s">
        <v>1515</v>
      </c>
    </row>
    <row r="202" spans="1:5" x14ac:dyDescent="0.35">
      <c r="A202" s="2" t="s">
        <v>481</v>
      </c>
      <c r="B202" s="2" t="s">
        <v>374</v>
      </c>
      <c r="C202" s="3">
        <v>167.72</v>
      </c>
      <c r="D202" s="1">
        <v>190</v>
      </c>
      <c r="E202" t="s">
        <v>1516</v>
      </c>
    </row>
    <row r="203" spans="1:5" x14ac:dyDescent="0.35">
      <c r="A203" s="2" t="s">
        <v>54</v>
      </c>
      <c r="B203" s="2" t="s">
        <v>374</v>
      </c>
      <c r="C203" s="3">
        <v>126.88</v>
      </c>
      <c r="D203" s="1">
        <v>150</v>
      </c>
      <c r="E203" t="s">
        <v>1517</v>
      </c>
    </row>
    <row r="204" spans="1:5" x14ac:dyDescent="0.35">
      <c r="A204" s="2" t="s">
        <v>55</v>
      </c>
      <c r="B204" s="2" t="s">
        <v>5</v>
      </c>
      <c r="C204" s="3">
        <v>250.25</v>
      </c>
      <c r="D204" s="1">
        <v>290</v>
      </c>
      <c r="E204" t="s">
        <v>1517</v>
      </c>
    </row>
    <row r="205" spans="1:5" x14ac:dyDescent="0.35">
      <c r="A205" s="2" t="s">
        <v>56</v>
      </c>
      <c r="B205" s="2" t="s">
        <v>4</v>
      </c>
      <c r="C205" s="3">
        <v>480.5</v>
      </c>
      <c r="D205" s="1">
        <v>540</v>
      </c>
      <c r="E205" t="s">
        <v>1517</v>
      </c>
    </row>
    <row r="206" spans="1:5" x14ac:dyDescent="0.35">
      <c r="A206" s="2" t="s">
        <v>482</v>
      </c>
      <c r="B206" s="2" t="s">
        <v>4</v>
      </c>
      <c r="C206" s="3">
        <v>1470.51</v>
      </c>
      <c r="D206" s="1">
        <v>1650</v>
      </c>
      <c r="E206" t="s">
        <v>1518</v>
      </c>
    </row>
    <row r="207" spans="1:5" x14ac:dyDescent="0.35">
      <c r="A207" s="2" t="s">
        <v>483</v>
      </c>
      <c r="B207" s="2" t="s">
        <v>4</v>
      </c>
      <c r="C207" s="3">
        <v>1568.46</v>
      </c>
      <c r="D207" s="1">
        <v>1760</v>
      </c>
      <c r="E207" t="s">
        <v>1519</v>
      </c>
    </row>
    <row r="208" spans="1:5" x14ac:dyDescent="0.35">
      <c r="A208" s="2" t="s">
        <v>57</v>
      </c>
      <c r="B208" s="2" t="s">
        <v>4</v>
      </c>
      <c r="C208" s="3">
        <v>1652.02</v>
      </c>
      <c r="D208" s="1">
        <v>1860</v>
      </c>
      <c r="E208" t="s">
        <v>1520</v>
      </c>
    </row>
    <row r="209" spans="1:5" x14ac:dyDescent="0.35">
      <c r="A209" s="2" t="s">
        <v>58</v>
      </c>
      <c r="B209" s="2" t="s">
        <v>4</v>
      </c>
      <c r="C209" s="3">
        <v>1659.03</v>
      </c>
      <c r="D209" s="1">
        <v>1860</v>
      </c>
      <c r="E209" t="s">
        <v>1521</v>
      </c>
    </row>
    <row r="210" spans="1:5" x14ac:dyDescent="0.35">
      <c r="A210" s="2" t="s">
        <v>59</v>
      </c>
      <c r="B210" s="2" t="s">
        <v>4</v>
      </c>
      <c r="C210" s="3">
        <v>2053.34</v>
      </c>
      <c r="D210" s="1">
        <v>2300</v>
      </c>
      <c r="E210" t="s">
        <v>1522</v>
      </c>
    </row>
    <row r="211" spans="1:5" x14ac:dyDescent="0.35">
      <c r="A211" s="2" t="s">
        <v>484</v>
      </c>
      <c r="B211" s="2" t="s">
        <v>4</v>
      </c>
      <c r="C211" s="3">
        <v>1719.94</v>
      </c>
      <c r="D211" s="1">
        <v>1930</v>
      </c>
      <c r="E211" t="s">
        <v>1523</v>
      </c>
    </row>
    <row r="212" spans="1:5" x14ac:dyDescent="0.35">
      <c r="A212" s="2" t="s">
        <v>485</v>
      </c>
      <c r="B212" s="2" t="s">
        <v>4</v>
      </c>
      <c r="C212" s="3">
        <v>3780.04</v>
      </c>
      <c r="D212" s="1">
        <v>4240</v>
      </c>
      <c r="E212" t="s">
        <v>1524</v>
      </c>
    </row>
    <row r="213" spans="1:5" x14ac:dyDescent="0.35">
      <c r="A213" s="2" t="s">
        <v>486</v>
      </c>
      <c r="B213" s="2" t="s">
        <v>374</v>
      </c>
      <c r="C213" s="3">
        <v>524.54</v>
      </c>
      <c r="D213" s="1">
        <v>590</v>
      </c>
      <c r="E213" t="s">
        <v>1525</v>
      </c>
    </row>
    <row r="214" spans="1:5" x14ac:dyDescent="0.35">
      <c r="A214" s="2" t="s">
        <v>487</v>
      </c>
      <c r="B214" s="2" t="s">
        <v>4</v>
      </c>
      <c r="C214" s="3">
        <v>2107.71</v>
      </c>
      <c r="D214" s="1">
        <v>2370</v>
      </c>
      <c r="E214" t="s">
        <v>1525</v>
      </c>
    </row>
    <row r="215" spans="1:5" x14ac:dyDescent="0.35">
      <c r="A215" s="2" t="s">
        <v>60</v>
      </c>
      <c r="B215" s="2" t="s">
        <v>4</v>
      </c>
      <c r="C215" s="3">
        <v>2334.5700000000002</v>
      </c>
      <c r="D215" s="1">
        <v>2620</v>
      </c>
      <c r="E215" t="s">
        <v>1526</v>
      </c>
    </row>
    <row r="216" spans="1:5" x14ac:dyDescent="0.35">
      <c r="A216" s="2" t="s">
        <v>61</v>
      </c>
      <c r="B216" s="2" t="s">
        <v>5</v>
      </c>
      <c r="C216" s="3">
        <v>1781.69</v>
      </c>
      <c r="D216" s="1">
        <v>2000</v>
      </c>
      <c r="E216" t="s">
        <v>1527</v>
      </c>
    </row>
    <row r="217" spans="1:5" x14ac:dyDescent="0.35">
      <c r="A217" s="2" t="s">
        <v>488</v>
      </c>
      <c r="B217" s="2" t="s">
        <v>4</v>
      </c>
      <c r="C217" s="3">
        <v>1765.22</v>
      </c>
      <c r="D217" s="1">
        <v>1980</v>
      </c>
      <c r="E217" t="s">
        <v>1527</v>
      </c>
    </row>
    <row r="218" spans="1:5" x14ac:dyDescent="0.35">
      <c r="A218" s="2" t="s">
        <v>489</v>
      </c>
      <c r="B218" s="2" t="s">
        <v>4</v>
      </c>
      <c r="C218" s="3">
        <v>2009.26</v>
      </c>
      <c r="D218" s="1">
        <v>2260</v>
      </c>
      <c r="E218" t="s">
        <v>1528</v>
      </c>
    </row>
    <row r="219" spans="1:5" x14ac:dyDescent="0.35">
      <c r="A219" s="2" t="s">
        <v>490</v>
      </c>
      <c r="B219" s="2" t="s">
        <v>374</v>
      </c>
      <c r="C219" s="3">
        <v>177.39</v>
      </c>
      <c r="D219" s="1">
        <v>200</v>
      </c>
      <c r="E219" t="s">
        <v>1529</v>
      </c>
    </row>
    <row r="220" spans="1:5" x14ac:dyDescent="0.35">
      <c r="A220" s="2" t="s">
        <v>491</v>
      </c>
      <c r="B220" s="2" t="s">
        <v>5</v>
      </c>
      <c r="C220" s="3">
        <v>343.44</v>
      </c>
      <c r="D220" s="1">
        <v>390</v>
      </c>
      <c r="E220" t="s">
        <v>1529</v>
      </c>
    </row>
    <row r="221" spans="1:5" x14ac:dyDescent="0.35">
      <c r="A221" s="2" t="s">
        <v>492</v>
      </c>
      <c r="B221" s="2" t="s">
        <v>4</v>
      </c>
      <c r="C221" s="3">
        <v>666.6</v>
      </c>
      <c r="D221" s="1">
        <v>750</v>
      </c>
      <c r="E221" t="s">
        <v>1529</v>
      </c>
    </row>
    <row r="222" spans="1:5" x14ac:dyDescent="0.35">
      <c r="A222" s="2" t="s">
        <v>493</v>
      </c>
      <c r="B222" s="2" t="s">
        <v>374</v>
      </c>
      <c r="C222" s="3">
        <v>467.23</v>
      </c>
      <c r="D222" s="1">
        <v>530</v>
      </c>
      <c r="E222" t="s">
        <v>1530</v>
      </c>
    </row>
    <row r="223" spans="1:5" x14ac:dyDescent="0.35">
      <c r="A223" s="2" t="s">
        <v>493</v>
      </c>
      <c r="B223" s="2" t="s">
        <v>5</v>
      </c>
      <c r="C223" s="3">
        <v>371.85</v>
      </c>
      <c r="D223" s="1">
        <v>420</v>
      </c>
      <c r="E223" t="s">
        <v>1530</v>
      </c>
    </row>
    <row r="224" spans="1:5" x14ac:dyDescent="0.35">
      <c r="A224" s="2" t="s">
        <v>493</v>
      </c>
      <c r="B224" s="2" t="s">
        <v>4</v>
      </c>
      <c r="C224" s="3">
        <v>723.69</v>
      </c>
      <c r="D224" s="1">
        <v>820</v>
      </c>
      <c r="E224" t="s">
        <v>1530</v>
      </c>
    </row>
    <row r="225" spans="1:5" x14ac:dyDescent="0.35">
      <c r="A225" s="2" t="s">
        <v>494</v>
      </c>
      <c r="B225" s="2" t="s">
        <v>374</v>
      </c>
      <c r="C225" s="3">
        <v>162.52000000000001</v>
      </c>
      <c r="D225" s="1">
        <v>190</v>
      </c>
      <c r="E225" t="s">
        <v>1531</v>
      </c>
    </row>
    <row r="226" spans="1:5" x14ac:dyDescent="0.35">
      <c r="A226" s="2" t="s">
        <v>495</v>
      </c>
      <c r="B226" s="2" t="s">
        <v>5</v>
      </c>
      <c r="C226" s="3">
        <v>319.95</v>
      </c>
      <c r="D226" s="1">
        <v>360</v>
      </c>
      <c r="E226" t="s">
        <v>1531</v>
      </c>
    </row>
    <row r="227" spans="1:5" x14ac:dyDescent="0.35">
      <c r="A227" s="2" t="s">
        <v>496</v>
      </c>
      <c r="B227" s="2" t="s">
        <v>4</v>
      </c>
      <c r="C227" s="3">
        <v>621.16</v>
      </c>
      <c r="D227" s="1">
        <v>700</v>
      </c>
      <c r="E227" t="s">
        <v>1531</v>
      </c>
    </row>
    <row r="228" spans="1:5" x14ac:dyDescent="0.35">
      <c r="A228" s="2" t="s">
        <v>497</v>
      </c>
      <c r="B228" s="2" t="s">
        <v>4</v>
      </c>
      <c r="C228" s="3">
        <v>4848.8900000000003</v>
      </c>
      <c r="D228" s="1">
        <v>5440</v>
      </c>
      <c r="E228" t="s">
        <v>1532</v>
      </c>
    </row>
    <row r="229" spans="1:5" x14ac:dyDescent="0.35">
      <c r="A229" s="2" t="s">
        <v>62</v>
      </c>
      <c r="B229" s="2" t="s">
        <v>374</v>
      </c>
      <c r="C229" s="3">
        <v>138.47999999999999</v>
      </c>
      <c r="D229" s="1">
        <v>160</v>
      </c>
      <c r="E229" t="s">
        <v>1533</v>
      </c>
    </row>
    <row r="230" spans="1:5" x14ac:dyDescent="0.35">
      <c r="A230" s="2" t="s">
        <v>63</v>
      </c>
      <c r="B230" s="2" t="s">
        <v>5</v>
      </c>
      <c r="C230" s="3">
        <v>275.91000000000003</v>
      </c>
      <c r="D230" s="1">
        <v>310</v>
      </c>
      <c r="E230" t="s">
        <v>1533</v>
      </c>
    </row>
    <row r="231" spans="1:5" x14ac:dyDescent="0.35">
      <c r="A231" s="2" t="s">
        <v>64</v>
      </c>
      <c r="B231" s="2" t="s">
        <v>4</v>
      </c>
      <c r="C231" s="3">
        <v>522.37</v>
      </c>
      <c r="D231" s="1">
        <v>590</v>
      </c>
      <c r="E231" t="s">
        <v>1533</v>
      </c>
    </row>
    <row r="232" spans="1:5" x14ac:dyDescent="0.35">
      <c r="A232" s="2" t="s">
        <v>65</v>
      </c>
      <c r="B232" s="2" t="s">
        <v>4</v>
      </c>
      <c r="C232" s="3">
        <v>2131.73</v>
      </c>
      <c r="D232" s="1">
        <v>2390</v>
      </c>
      <c r="E232" t="s">
        <v>1534</v>
      </c>
    </row>
    <row r="233" spans="1:5" x14ac:dyDescent="0.35">
      <c r="A233" s="2" t="s">
        <v>498</v>
      </c>
      <c r="B233" s="2" t="s">
        <v>4</v>
      </c>
      <c r="C233" s="3">
        <v>2276.2600000000002</v>
      </c>
      <c r="D233" s="1">
        <v>2550</v>
      </c>
      <c r="E233" t="s">
        <v>1535</v>
      </c>
    </row>
    <row r="234" spans="1:5" x14ac:dyDescent="0.35">
      <c r="A234" s="2" t="s">
        <v>499</v>
      </c>
      <c r="B234" s="2" t="s">
        <v>374</v>
      </c>
      <c r="C234" s="3">
        <v>103.71</v>
      </c>
      <c r="D234" s="1">
        <v>120</v>
      </c>
      <c r="E234" t="s">
        <v>1536</v>
      </c>
    </row>
    <row r="235" spans="1:5" x14ac:dyDescent="0.35">
      <c r="A235" s="2" t="s">
        <v>66</v>
      </c>
      <c r="B235" s="2" t="s">
        <v>4</v>
      </c>
      <c r="C235" s="3">
        <v>2265.38</v>
      </c>
      <c r="D235" s="1">
        <v>2540</v>
      </c>
      <c r="E235" t="s">
        <v>1537</v>
      </c>
    </row>
    <row r="236" spans="1:5" x14ac:dyDescent="0.35">
      <c r="A236" s="2" t="s">
        <v>67</v>
      </c>
      <c r="B236" s="2" t="s">
        <v>4</v>
      </c>
      <c r="C236" s="3">
        <v>2748.19</v>
      </c>
      <c r="D236" s="1">
        <v>3080</v>
      </c>
      <c r="E236" t="s">
        <v>1538</v>
      </c>
    </row>
    <row r="237" spans="1:5" x14ac:dyDescent="0.35">
      <c r="A237" s="2" t="s">
        <v>500</v>
      </c>
      <c r="B237" s="2" t="s">
        <v>4</v>
      </c>
      <c r="C237" s="3">
        <v>2512.86</v>
      </c>
      <c r="D237" s="1">
        <v>2820</v>
      </c>
      <c r="E237" t="s">
        <v>1539</v>
      </c>
    </row>
    <row r="238" spans="1:5" x14ac:dyDescent="0.35">
      <c r="A238" s="2" t="s">
        <v>501</v>
      </c>
      <c r="B238" s="2" t="s">
        <v>4</v>
      </c>
      <c r="C238" s="3">
        <v>8943.41</v>
      </c>
      <c r="D238" s="1">
        <v>10020</v>
      </c>
      <c r="E238" t="s">
        <v>1540</v>
      </c>
    </row>
    <row r="239" spans="1:5" x14ac:dyDescent="0.35">
      <c r="A239" s="2" t="s">
        <v>68</v>
      </c>
      <c r="B239" s="2" t="s">
        <v>4</v>
      </c>
      <c r="C239" s="3">
        <v>9075.7000000000007</v>
      </c>
      <c r="D239" s="1">
        <v>10170</v>
      </c>
      <c r="E239" t="s">
        <v>1541</v>
      </c>
    </row>
    <row r="240" spans="1:5" x14ac:dyDescent="0.35">
      <c r="A240" s="2" t="s">
        <v>502</v>
      </c>
      <c r="B240" s="2" t="s">
        <v>4</v>
      </c>
      <c r="C240" s="3">
        <v>1669.67</v>
      </c>
      <c r="D240" s="1">
        <v>1880</v>
      </c>
      <c r="E240" t="s">
        <v>1542</v>
      </c>
    </row>
    <row r="241" spans="1:5" x14ac:dyDescent="0.35">
      <c r="A241" s="2" t="s">
        <v>69</v>
      </c>
      <c r="B241" s="2" t="s">
        <v>4</v>
      </c>
      <c r="C241" s="3">
        <v>5198.3500000000004</v>
      </c>
      <c r="D241" s="1">
        <v>5830</v>
      </c>
      <c r="E241" t="s">
        <v>1543</v>
      </c>
    </row>
    <row r="242" spans="1:5" x14ac:dyDescent="0.35">
      <c r="A242" s="2" t="s">
        <v>503</v>
      </c>
      <c r="B242" s="2" t="s">
        <v>374</v>
      </c>
      <c r="C242" s="3">
        <v>833.36</v>
      </c>
      <c r="D242" s="1">
        <v>940</v>
      </c>
      <c r="E242" t="s">
        <v>1544</v>
      </c>
    </row>
    <row r="243" spans="1:5" x14ac:dyDescent="0.35">
      <c r="A243" s="2" t="s">
        <v>70</v>
      </c>
      <c r="B243" s="2" t="s">
        <v>4</v>
      </c>
      <c r="C243" s="3">
        <v>2713.8</v>
      </c>
      <c r="D243" s="1">
        <v>3040</v>
      </c>
      <c r="E243" t="s">
        <v>1544</v>
      </c>
    </row>
    <row r="244" spans="1:5" x14ac:dyDescent="0.35">
      <c r="A244" s="2" t="s">
        <v>71</v>
      </c>
      <c r="B244" s="2" t="s">
        <v>4</v>
      </c>
      <c r="C244" s="3">
        <v>4235.88</v>
      </c>
      <c r="D244" s="1">
        <v>4750</v>
      </c>
      <c r="E244" t="s">
        <v>1545</v>
      </c>
    </row>
    <row r="245" spans="1:5" x14ac:dyDescent="0.35">
      <c r="A245" s="2" t="s">
        <v>72</v>
      </c>
      <c r="B245" s="2" t="s">
        <v>4</v>
      </c>
      <c r="C245" s="3">
        <v>5196.24</v>
      </c>
      <c r="D245" s="1">
        <v>5820</v>
      </c>
      <c r="E245" t="s">
        <v>1546</v>
      </c>
    </row>
    <row r="246" spans="1:5" x14ac:dyDescent="0.35">
      <c r="A246" s="2" t="s">
        <v>73</v>
      </c>
      <c r="B246" s="2" t="s">
        <v>4</v>
      </c>
      <c r="C246" s="3">
        <v>15880.11</v>
      </c>
      <c r="D246" s="1">
        <v>17790</v>
      </c>
      <c r="E246" t="s">
        <v>1547</v>
      </c>
    </row>
    <row r="247" spans="1:5" x14ac:dyDescent="0.35">
      <c r="A247" s="2" t="s">
        <v>504</v>
      </c>
      <c r="B247" s="2" t="s">
        <v>4</v>
      </c>
      <c r="C247" s="3">
        <v>1580</v>
      </c>
      <c r="D247" s="1">
        <v>1770</v>
      </c>
      <c r="E247" t="s">
        <v>1548</v>
      </c>
    </row>
    <row r="248" spans="1:5" x14ac:dyDescent="0.35">
      <c r="A248" s="2" t="s">
        <v>74</v>
      </c>
      <c r="B248" s="2" t="s">
        <v>4</v>
      </c>
      <c r="C248" s="3">
        <v>1692.32</v>
      </c>
      <c r="D248" s="1">
        <v>1900</v>
      </c>
      <c r="E248" t="s">
        <v>1549</v>
      </c>
    </row>
    <row r="249" spans="1:5" x14ac:dyDescent="0.35">
      <c r="A249" s="2" t="s">
        <v>505</v>
      </c>
      <c r="B249" s="2" t="s">
        <v>4</v>
      </c>
      <c r="C249" s="3">
        <v>2352.21</v>
      </c>
      <c r="D249" s="1">
        <v>2640</v>
      </c>
      <c r="E249" t="s">
        <v>1550</v>
      </c>
    </row>
    <row r="250" spans="1:5" x14ac:dyDescent="0.35">
      <c r="A250" s="2" t="s">
        <v>506</v>
      </c>
      <c r="B250" s="2" t="s">
        <v>4</v>
      </c>
      <c r="C250" s="3">
        <v>1621.26</v>
      </c>
      <c r="D250" s="1">
        <v>1820</v>
      </c>
      <c r="E250" t="s">
        <v>1551</v>
      </c>
    </row>
    <row r="251" spans="1:5" x14ac:dyDescent="0.35">
      <c r="A251" s="2" t="s">
        <v>507</v>
      </c>
      <c r="B251" s="2" t="s">
        <v>4</v>
      </c>
      <c r="C251" s="3">
        <v>1543.89</v>
      </c>
      <c r="D251" s="1">
        <v>1730</v>
      </c>
      <c r="E251" t="s">
        <v>1552</v>
      </c>
    </row>
    <row r="252" spans="1:5" x14ac:dyDescent="0.35">
      <c r="A252" s="2" t="s">
        <v>75</v>
      </c>
      <c r="B252" s="2" t="s">
        <v>4</v>
      </c>
      <c r="C252" s="3">
        <v>3188.56</v>
      </c>
      <c r="D252" s="1">
        <v>3580</v>
      </c>
      <c r="E252" t="s">
        <v>1553</v>
      </c>
    </row>
    <row r="253" spans="1:5" x14ac:dyDescent="0.35">
      <c r="A253" s="2" t="s">
        <v>508</v>
      </c>
      <c r="B253" s="2" t="s">
        <v>4</v>
      </c>
      <c r="C253" s="3">
        <v>1354.73</v>
      </c>
      <c r="D253" s="1">
        <v>1520</v>
      </c>
      <c r="E253" t="s">
        <v>1554</v>
      </c>
    </row>
    <row r="254" spans="1:5" x14ac:dyDescent="0.35">
      <c r="A254" s="2" t="s">
        <v>509</v>
      </c>
      <c r="B254" s="2" t="s">
        <v>374</v>
      </c>
      <c r="C254" s="3">
        <v>215.45</v>
      </c>
      <c r="D254" s="1">
        <v>250</v>
      </c>
      <c r="E254" t="s">
        <v>1555</v>
      </c>
    </row>
    <row r="255" spans="1:5" x14ac:dyDescent="0.35">
      <c r="A255" s="2" t="s">
        <v>510</v>
      </c>
      <c r="B255" s="2" t="s">
        <v>5</v>
      </c>
      <c r="C255" s="3">
        <v>423.6</v>
      </c>
      <c r="D255" s="1">
        <v>480</v>
      </c>
      <c r="E255" t="s">
        <v>1555</v>
      </c>
    </row>
    <row r="256" spans="1:5" x14ac:dyDescent="0.35">
      <c r="A256" s="2" t="s">
        <v>511</v>
      </c>
      <c r="B256" s="2" t="s">
        <v>4</v>
      </c>
      <c r="C256" s="3">
        <v>839.78</v>
      </c>
      <c r="D256" s="1">
        <v>950</v>
      </c>
      <c r="E256" t="s">
        <v>1555</v>
      </c>
    </row>
    <row r="257" spans="1:5" x14ac:dyDescent="0.35">
      <c r="A257" s="2" t="s">
        <v>76</v>
      </c>
      <c r="B257" s="2" t="s">
        <v>4</v>
      </c>
      <c r="C257" s="3">
        <v>7010.45</v>
      </c>
      <c r="D257" s="1">
        <v>7860</v>
      </c>
      <c r="E257" t="s">
        <v>1556</v>
      </c>
    </row>
    <row r="258" spans="1:5" x14ac:dyDescent="0.35">
      <c r="A258" s="2" t="s">
        <v>77</v>
      </c>
      <c r="B258" s="2" t="s">
        <v>4</v>
      </c>
      <c r="C258" s="3">
        <v>5032.17</v>
      </c>
      <c r="D258" s="1">
        <v>5640</v>
      </c>
      <c r="E258" t="s">
        <v>1557</v>
      </c>
    </row>
    <row r="259" spans="1:5" x14ac:dyDescent="0.35">
      <c r="A259" s="2" t="s">
        <v>512</v>
      </c>
      <c r="B259" s="2" t="s">
        <v>4</v>
      </c>
      <c r="C259" s="3">
        <v>428.11</v>
      </c>
      <c r="D259" s="1">
        <v>480</v>
      </c>
      <c r="E259" t="s">
        <v>1558</v>
      </c>
    </row>
    <row r="260" spans="1:5" x14ac:dyDescent="0.35">
      <c r="A260" s="2" t="s">
        <v>513</v>
      </c>
      <c r="B260" s="2" t="s">
        <v>4</v>
      </c>
      <c r="C260" s="3">
        <v>2749.79</v>
      </c>
      <c r="D260" s="1">
        <v>3080</v>
      </c>
      <c r="E260" t="s">
        <v>1559</v>
      </c>
    </row>
    <row r="261" spans="1:5" x14ac:dyDescent="0.35">
      <c r="A261" s="2" t="s">
        <v>514</v>
      </c>
      <c r="B261" s="2" t="s">
        <v>4</v>
      </c>
      <c r="C261" s="3">
        <v>5703.61</v>
      </c>
      <c r="D261" s="1">
        <v>6390</v>
      </c>
      <c r="E261" t="s">
        <v>1560</v>
      </c>
    </row>
    <row r="262" spans="1:5" x14ac:dyDescent="0.35">
      <c r="A262" s="2" t="s">
        <v>515</v>
      </c>
      <c r="B262" s="2" t="s">
        <v>4</v>
      </c>
      <c r="C262" s="3">
        <v>2747.33</v>
      </c>
      <c r="D262" s="1">
        <v>3080</v>
      </c>
      <c r="E262" t="s">
        <v>1561</v>
      </c>
    </row>
    <row r="263" spans="1:5" x14ac:dyDescent="0.35">
      <c r="A263" s="2" t="s">
        <v>78</v>
      </c>
      <c r="B263" s="2" t="s">
        <v>4</v>
      </c>
      <c r="C263" s="3">
        <v>3025.04</v>
      </c>
      <c r="D263" s="1">
        <v>3390</v>
      </c>
      <c r="E263" t="s">
        <v>1562</v>
      </c>
    </row>
    <row r="264" spans="1:5" x14ac:dyDescent="0.35">
      <c r="A264" s="2" t="s">
        <v>516</v>
      </c>
      <c r="B264" s="2" t="s">
        <v>5</v>
      </c>
      <c r="C264" s="3">
        <v>7657.87</v>
      </c>
      <c r="D264" s="1">
        <v>8580</v>
      </c>
      <c r="E264" t="s">
        <v>1563</v>
      </c>
    </row>
    <row r="265" spans="1:5" x14ac:dyDescent="0.35">
      <c r="A265" s="2" t="s">
        <v>517</v>
      </c>
      <c r="B265" s="2" t="s">
        <v>5</v>
      </c>
      <c r="C265" s="3">
        <v>11019.1</v>
      </c>
      <c r="D265" s="1">
        <v>12350</v>
      </c>
      <c r="E265" t="s">
        <v>1564</v>
      </c>
    </row>
    <row r="266" spans="1:5" x14ac:dyDescent="0.35">
      <c r="A266" s="4" t="s">
        <v>946</v>
      </c>
      <c r="B266" s="2" t="s">
        <v>4</v>
      </c>
      <c r="C266" s="3">
        <v>2305.13</v>
      </c>
      <c r="D266" s="1">
        <v>2590</v>
      </c>
      <c r="E266" t="s">
        <v>1012</v>
      </c>
    </row>
    <row r="267" spans="1:5" x14ac:dyDescent="0.35">
      <c r="A267" s="4" t="s">
        <v>947</v>
      </c>
      <c r="B267" s="2" t="s">
        <v>4</v>
      </c>
      <c r="C267" s="3">
        <v>1721.67</v>
      </c>
      <c r="D267" s="1">
        <v>1930</v>
      </c>
      <c r="E267" t="s">
        <v>1565</v>
      </c>
    </row>
    <row r="268" spans="1:5" x14ac:dyDescent="0.35">
      <c r="A268" s="2" t="s">
        <v>79</v>
      </c>
      <c r="B268" s="2" t="s">
        <v>374</v>
      </c>
      <c r="C268" s="3">
        <v>379.12</v>
      </c>
      <c r="D268" s="1">
        <v>430</v>
      </c>
      <c r="E268" t="s">
        <v>1566</v>
      </c>
    </row>
    <row r="269" spans="1:5" x14ac:dyDescent="0.35">
      <c r="A269" s="2" t="s">
        <v>80</v>
      </c>
      <c r="B269" s="2" t="s">
        <v>5</v>
      </c>
      <c r="C269" s="3">
        <v>766.47</v>
      </c>
      <c r="D269" s="1">
        <v>860</v>
      </c>
      <c r="E269" t="s">
        <v>1566</v>
      </c>
    </row>
    <row r="270" spans="1:5" x14ac:dyDescent="0.35">
      <c r="A270" s="2" t="s">
        <v>81</v>
      </c>
      <c r="B270" s="2" t="s">
        <v>4</v>
      </c>
      <c r="C270" s="3">
        <v>1531.25</v>
      </c>
      <c r="D270" s="1">
        <v>1720</v>
      </c>
      <c r="E270" t="s">
        <v>1566</v>
      </c>
    </row>
    <row r="271" spans="1:5" x14ac:dyDescent="0.35">
      <c r="A271" s="2" t="s">
        <v>518</v>
      </c>
      <c r="B271" s="2" t="s">
        <v>4</v>
      </c>
      <c r="C271" s="3">
        <v>468.15</v>
      </c>
      <c r="D271" s="1">
        <v>530</v>
      </c>
      <c r="E271" t="s">
        <v>1567</v>
      </c>
    </row>
    <row r="272" spans="1:5" x14ac:dyDescent="0.35">
      <c r="A272" s="2" t="s">
        <v>82</v>
      </c>
      <c r="B272" s="2" t="s">
        <v>4</v>
      </c>
      <c r="C272" s="3">
        <v>4347.6899999999996</v>
      </c>
      <c r="D272" s="1">
        <v>4870</v>
      </c>
      <c r="E272" t="s">
        <v>1568</v>
      </c>
    </row>
    <row r="273" spans="1:5" x14ac:dyDescent="0.35">
      <c r="A273" s="2" t="s">
        <v>519</v>
      </c>
      <c r="B273" s="2" t="s">
        <v>4</v>
      </c>
      <c r="C273" s="3">
        <v>4065.33</v>
      </c>
      <c r="D273" s="1">
        <v>4560</v>
      </c>
      <c r="E273" t="s">
        <v>1569</v>
      </c>
    </row>
    <row r="274" spans="1:5" x14ac:dyDescent="0.35">
      <c r="A274" s="2" t="s">
        <v>520</v>
      </c>
      <c r="B274" s="2" t="s">
        <v>4</v>
      </c>
      <c r="C274" s="3">
        <v>2779.97</v>
      </c>
      <c r="D274" s="1">
        <v>3120</v>
      </c>
      <c r="E274" t="s">
        <v>1570</v>
      </c>
    </row>
    <row r="275" spans="1:5" x14ac:dyDescent="0.35">
      <c r="A275" s="2" t="s">
        <v>83</v>
      </c>
      <c r="B275" s="2" t="s">
        <v>4</v>
      </c>
      <c r="C275" s="3">
        <v>17352.71</v>
      </c>
      <c r="D275" s="1">
        <v>19440</v>
      </c>
      <c r="E275" t="s">
        <v>1571</v>
      </c>
    </row>
    <row r="276" spans="1:5" x14ac:dyDescent="0.35">
      <c r="A276" s="2" t="s">
        <v>84</v>
      </c>
      <c r="B276" s="2" t="s">
        <v>4</v>
      </c>
      <c r="C276" s="3">
        <v>6471.04</v>
      </c>
      <c r="D276" s="1">
        <v>7250</v>
      </c>
      <c r="E276" t="s">
        <v>1572</v>
      </c>
    </row>
    <row r="277" spans="1:5" x14ac:dyDescent="0.35">
      <c r="A277" s="2" t="s">
        <v>85</v>
      </c>
      <c r="B277" s="2" t="s">
        <v>4</v>
      </c>
      <c r="C277" s="3">
        <v>6940.37</v>
      </c>
      <c r="D277" s="1">
        <v>7780</v>
      </c>
      <c r="E277" t="s">
        <v>1573</v>
      </c>
    </row>
    <row r="278" spans="1:5" x14ac:dyDescent="0.35">
      <c r="A278" s="2" t="s">
        <v>86</v>
      </c>
      <c r="B278" s="2" t="s">
        <v>374</v>
      </c>
      <c r="C278" s="3">
        <v>215.15</v>
      </c>
      <c r="D278" s="1">
        <v>250</v>
      </c>
      <c r="E278" t="s">
        <v>1574</v>
      </c>
    </row>
    <row r="279" spans="1:5" x14ac:dyDescent="0.35">
      <c r="A279" s="2" t="s">
        <v>521</v>
      </c>
      <c r="B279" s="2" t="s">
        <v>5</v>
      </c>
      <c r="C279" s="3">
        <v>428.29</v>
      </c>
      <c r="D279" s="1">
        <v>480</v>
      </c>
      <c r="E279" t="s">
        <v>1574</v>
      </c>
    </row>
    <row r="280" spans="1:5" x14ac:dyDescent="0.35">
      <c r="A280" s="2" t="s">
        <v>87</v>
      </c>
      <c r="B280" s="2" t="s">
        <v>4</v>
      </c>
      <c r="C280" s="3">
        <v>1146.0899999999999</v>
      </c>
      <c r="D280" s="1">
        <v>1290</v>
      </c>
      <c r="E280" t="s">
        <v>1575</v>
      </c>
    </row>
    <row r="281" spans="1:5" x14ac:dyDescent="0.35">
      <c r="A281" s="2" t="s">
        <v>88</v>
      </c>
      <c r="B281" s="2" t="s">
        <v>4</v>
      </c>
      <c r="C281" s="3">
        <v>1485.63</v>
      </c>
      <c r="D281" s="1">
        <v>1670</v>
      </c>
      <c r="E281" t="s">
        <v>1576</v>
      </c>
    </row>
    <row r="282" spans="1:5" x14ac:dyDescent="0.35">
      <c r="A282" s="2" t="s">
        <v>522</v>
      </c>
      <c r="B282" s="2" t="s">
        <v>4</v>
      </c>
      <c r="C282" s="3">
        <v>1495.26</v>
      </c>
      <c r="D282" s="1">
        <v>1680</v>
      </c>
      <c r="E282" t="s">
        <v>1577</v>
      </c>
    </row>
    <row r="283" spans="1:5" x14ac:dyDescent="0.35">
      <c r="A283" s="2" t="s">
        <v>89</v>
      </c>
      <c r="B283" s="2" t="s">
        <v>4</v>
      </c>
      <c r="C283" s="3">
        <v>1221.01</v>
      </c>
      <c r="D283" s="1">
        <v>1370</v>
      </c>
      <c r="E283" t="s">
        <v>1578</v>
      </c>
    </row>
    <row r="284" spans="1:5" x14ac:dyDescent="0.35">
      <c r="A284" s="2" t="s">
        <v>90</v>
      </c>
      <c r="B284" s="2" t="s">
        <v>374</v>
      </c>
      <c r="C284" s="3">
        <v>127.28</v>
      </c>
      <c r="D284" s="1">
        <v>150</v>
      </c>
      <c r="E284" t="s">
        <v>1579</v>
      </c>
    </row>
    <row r="285" spans="1:5" x14ac:dyDescent="0.35">
      <c r="A285" s="2" t="s">
        <v>523</v>
      </c>
      <c r="B285" s="2" t="s">
        <v>5</v>
      </c>
      <c r="C285" s="3">
        <v>266.29000000000002</v>
      </c>
      <c r="D285" s="1">
        <v>300</v>
      </c>
      <c r="E285" t="s">
        <v>1579</v>
      </c>
    </row>
    <row r="286" spans="1:5" x14ac:dyDescent="0.35">
      <c r="A286" s="2" t="s">
        <v>524</v>
      </c>
      <c r="B286" s="2" t="s">
        <v>4</v>
      </c>
      <c r="C286" s="3">
        <v>526.20000000000005</v>
      </c>
      <c r="D286" s="1">
        <v>590</v>
      </c>
      <c r="E286" t="s">
        <v>1579</v>
      </c>
    </row>
    <row r="287" spans="1:5" x14ac:dyDescent="0.35">
      <c r="A287" s="2" t="s">
        <v>91</v>
      </c>
      <c r="B287" s="2" t="s">
        <v>4</v>
      </c>
      <c r="C287" s="3">
        <v>3353.56</v>
      </c>
      <c r="D287" s="1">
        <v>3760</v>
      </c>
      <c r="E287" t="s">
        <v>1580</v>
      </c>
    </row>
    <row r="288" spans="1:5" x14ac:dyDescent="0.35">
      <c r="A288" s="2" t="s">
        <v>525</v>
      </c>
      <c r="B288" s="2" t="s">
        <v>4</v>
      </c>
      <c r="C288" s="3">
        <v>1717.39</v>
      </c>
      <c r="D288" s="1">
        <v>1930</v>
      </c>
      <c r="E288" t="s">
        <v>1581</v>
      </c>
    </row>
    <row r="289" spans="1:5" x14ac:dyDescent="0.35">
      <c r="A289" s="2" t="s">
        <v>92</v>
      </c>
      <c r="B289" s="2" t="s">
        <v>4</v>
      </c>
      <c r="C289" s="3">
        <v>1856.96</v>
      </c>
      <c r="D289" s="1">
        <v>2080</v>
      </c>
      <c r="E289" t="s">
        <v>1582</v>
      </c>
    </row>
    <row r="290" spans="1:5" x14ac:dyDescent="0.35">
      <c r="A290" s="2" t="s">
        <v>526</v>
      </c>
      <c r="B290" s="2" t="s">
        <v>4</v>
      </c>
      <c r="C290" s="3">
        <v>4490.75</v>
      </c>
      <c r="D290" s="1">
        <v>5030</v>
      </c>
      <c r="E290" t="s">
        <v>1583</v>
      </c>
    </row>
    <row r="291" spans="1:5" x14ac:dyDescent="0.35">
      <c r="A291" s="2" t="s">
        <v>527</v>
      </c>
      <c r="B291" s="2" t="s">
        <v>4</v>
      </c>
      <c r="C291" s="3">
        <v>3615.38</v>
      </c>
      <c r="D291" s="1">
        <v>4050</v>
      </c>
      <c r="E291" t="s">
        <v>1584</v>
      </c>
    </row>
    <row r="292" spans="1:5" x14ac:dyDescent="0.35">
      <c r="A292" s="2" t="s">
        <v>528</v>
      </c>
      <c r="B292" s="2" t="s">
        <v>4</v>
      </c>
      <c r="C292" s="3">
        <v>2964.38</v>
      </c>
      <c r="D292" s="1">
        <v>3330</v>
      </c>
      <c r="E292" t="s">
        <v>1585</v>
      </c>
    </row>
    <row r="293" spans="1:5" x14ac:dyDescent="0.35">
      <c r="A293" s="2" t="s">
        <v>93</v>
      </c>
      <c r="B293" s="2" t="s">
        <v>4</v>
      </c>
      <c r="C293" s="3">
        <v>1519.69</v>
      </c>
      <c r="D293" s="1">
        <v>1710</v>
      </c>
      <c r="E293" t="s">
        <v>1586</v>
      </c>
    </row>
    <row r="294" spans="1:5" x14ac:dyDescent="0.35">
      <c r="A294" s="2" t="s">
        <v>529</v>
      </c>
      <c r="B294" s="2" t="s">
        <v>4</v>
      </c>
      <c r="C294" s="3">
        <v>3115.09</v>
      </c>
      <c r="D294" s="1">
        <v>3490</v>
      </c>
      <c r="E294" t="s">
        <v>1587</v>
      </c>
    </row>
    <row r="295" spans="1:5" x14ac:dyDescent="0.35">
      <c r="A295" s="2" t="s">
        <v>94</v>
      </c>
      <c r="B295" s="2" t="s">
        <v>4</v>
      </c>
      <c r="C295" s="3">
        <v>760.25</v>
      </c>
      <c r="D295" s="1">
        <v>860</v>
      </c>
      <c r="E295" t="s">
        <v>1588</v>
      </c>
    </row>
    <row r="296" spans="1:5" x14ac:dyDescent="0.35">
      <c r="A296" s="2" t="s">
        <v>530</v>
      </c>
      <c r="B296" s="2" t="s">
        <v>5</v>
      </c>
      <c r="C296" s="3">
        <v>387.25</v>
      </c>
      <c r="D296" s="1">
        <v>440</v>
      </c>
      <c r="E296" t="s">
        <v>1589</v>
      </c>
    </row>
    <row r="297" spans="1:5" x14ac:dyDescent="0.35">
      <c r="A297" s="2" t="s">
        <v>95</v>
      </c>
      <c r="B297" s="2" t="s">
        <v>4</v>
      </c>
      <c r="C297" s="3">
        <v>673.7</v>
      </c>
      <c r="D297" s="1">
        <v>760</v>
      </c>
      <c r="E297" t="s">
        <v>1590</v>
      </c>
    </row>
    <row r="298" spans="1:5" x14ac:dyDescent="0.35">
      <c r="A298" s="2" t="s">
        <v>531</v>
      </c>
      <c r="B298" s="2" t="s">
        <v>4</v>
      </c>
      <c r="C298" s="3">
        <v>763.68</v>
      </c>
      <c r="D298" s="1">
        <v>860</v>
      </c>
      <c r="E298" t="s">
        <v>1591</v>
      </c>
    </row>
    <row r="299" spans="1:5" x14ac:dyDescent="0.35">
      <c r="A299" s="2" t="s">
        <v>532</v>
      </c>
      <c r="B299" s="2" t="s">
        <v>4</v>
      </c>
      <c r="C299" s="3">
        <v>860.55</v>
      </c>
      <c r="D299" s="1">
        <v>970</v>
      </c>
      <c r="E299" t="s">
        <v>1592</v>
      </c>
    </row>
    <row r="300" spans="1:5" x14ac:dyDescent="0.35">
      <c r="A300" s="2" t="s">
        <v>533</v>
      </c>
      <c r="B300" s="2" t="s">
        <v>4</v>
      </c>
      <c r="C300" s="3">
        <v>485.45</v>
      </c>
      <c r="D300" s="1">
        <v>550</v>
      </c>
      <c r="E300" t="s">
        <v>1593</v>
      </c>
    </row>
    <row r="301" spans="1:5" x14ac:dyDescent="0.35">
      <c r="A301" s="2" t="s">
        <v>534</v>
      </c>
      <c r="B301" s="2" t="s">
        <v>4</v>
      </c>
      <c r="C301" s="3">
        <v>468.78</v>
      </c>
      <c r="D301" s="1">
        <v>530</v>
      </c>
      <c r="E301" t="s">
        <v>1594</v>
      </c>
    </row>
    <row r="302" spans="1:5" x14ac:dyDescent="0.35">
      <c r="A302" s="2" t="s">
        <v>96</v>
      </c>
      <c r="B302" s="2" t="s">
        <v>4</v>
      </c>
      <c r="C302" s="3">
        <v>678.47</v>
      </c>
      <c r="D302" s="1">
        <v>760</v>
      </c>
      <c r="E302" t="s">
        <v>1595</v>
      </c>
    </row>
    <row r="303" spans="1:5" x14ac:dyDescent="0.35">
      <c r="A303" s="2" t="s">
        <v>97</v>
      </c>
      <c r="B303" s="2" t="s">
        <v>4</v>
      </c>
      <c r="C303" s="3">
        <v>568.48</v>
      </c>
      <c r="D303" s="1">
        <v>640</v>
      </c>
      <c r="E303" t="s">
        <v>1596</v>
      </c>
    </row>
    <row r="304" spans="1:5" x14ac:dyDescent="0.35">
      <c r="A304" s="2" t="s">
        <v>535</v>
      </c>
      <c r="B304" s="2" t="s">
        <v>4</v>
      </c>
      <c r="C304" s="3">
        <v>582.09</v>
      </c>
      <c r="D304" s="1">
        <v>660</v>
      </c>
      <c r="E304" t="s">
        <v>1597</v>
      </c>
    </row>
    <row r="305" spans="1:5" x14ac:dyDescent="0.35">
      <c r="A305" s="2" t="s">
        <v>536</v>
      </c>
      <c r="B305" s="2" t="s">
        <v>5</v>
      </c>
      <c r="C305" s="3">
        <v>295.16000000000003</v>
      </c>
      <c r="D305" s="1">
        <v>340</v>
      </c>
      <c r="E305" t="s">
        <v>1598</v>
      </c>
    </row>
    <row r="306" spans="1:5" x14ac:dyDescent="0.35">
      <c r="A306" s="2" t="s">
        <v>537</v>
      </c>
      <c r="B306" s="2" t="s">
        <v>4</v>
      </c>
      <c r="C306" s="3">
        <v>1008.85</v>
      </c>
      <c r="D306" s="1">
        <v>1130</v>
      </c>
      <c r="E306" t="s">
        <v>1599</v>
      </c>
    </row>
    <row r="307" spans="1:5" x14ac:dyDescent="0.35">
      <c r="A307" s="2" t="s">
        <v>98</v>
      </c>
      <c r="B307" s="2" t="s">
        <v>4</v>
      </c>
      <c r="C307" s="3">
        <v>1182.28</v>
      </c>
      <c r="D307" s="1">
        <v>1330</v>
      </c>
      <c r="E307" t="s">
        <v>1600</v>
      </c>
    </row>
    <row r="308" spans="1:5" x14ac:dyDescent="0.35">
      <c r="A308" s="2" t="s">
        <v>538</v>
      </c>
      <c r="B308" s="2" t="s">
        <v>4</v>
      </c>
      <c r="C308" s="3">
        <v>1001.67</v>
      </c>
      <c r="D308" s="1">
        <v>1130</v>
      </c>
      <c r="E308" t="s">
        <v>1601</v>
      </c>
    </row>
    <row r="309" spans="1:5" x14ac:dyDescent="0.35">
      <c r="A309" s="2" t="s">
        <v>539</v>
      </c>
      <c r="B309" s="2" t="s">
        <v>4</v>
      </c>
      <c r="C309" s="3">
        <v>872.52</v>
      </c>
      <c r="D309" s="1">
        <v>980</v>
      </c>
      <c r="E309" t="s">
        <v>1602</v>
      </c>
    </row>
    <row r="310" spans="1:5" x14ac:dyDescent="0.35">
      <c r="A310" s="2" t="s">
        <v>99</v>
      </c>
      <c r="B310" s="2" t="s">
        <v>4</v>
      </c>
      <c r="C310" s="3">
        <v>1012.73</v>
      </c>
      <c r="D310" s="1">
        <v>1140</v>
      </c>
      <c r="E310" t="s">
        <v>1603</v>
      </c>
    </row>
    <row r="311" spans="1:5" x14ac:dyDescent="0.35">
      <c r="A311" s="2" t="s">
        <v>540</v>
      </c>
      <c r="B311" s="2" t="s">
        <v>4</v>
      </c>
      <c r="C311" s="3">
        <v>1002.71</v>
      </c>
      <c r="D311" s="1">
        <v>1130</v>
      </c>
      <c r="E311" t="s">
        <v>1604</v>
      </c>
    </row>
    <row r="312" spans="1:5" x14ac:dyDescent="0.35">
      <c r="A312" s="2" t="s">
        <v>541</v>
      </c>
      <c r="B312" s="2" t="s">
        <v>5</v>
      </c>
      <c r="C312" s="3">
        <v>342.71</v>
      </c>
      <c r="D312" s="1">
        <v>390</v>
      </c>
      <c r="E312" t="s">
        <v>1605</v>
      </c>
    </row>
    <row r="313" spans="1:5" x14ac:dyDescent="0.35">
      <c r="A313" s="2" t="s">
        <v>542</v>
      </c>
      <c r="B313" s="2" t="s">
        <v>4</v>
      </c>
      <c r="C313" s="3">
        <v>685.36</v>
      </c>
      <c r="D313" s="1">
        <v>770</v>
      </c>
      <c r="E313" t="s">
        <v>1605</v>
      </c>
    </row>
    <row r="314" spans="1:5" x14ac:dyDescent="0.35">
      <c r="A314" s="2" t="s">
        <v>543</v>
      </c>
      <c r="B314" s="2" t="s">
        <v>4</v>
      </c>
      <c r="C314" s="3">
        <v>719.06</v>
      </c>
      <c r="D314" s="1">
        <v>810</v>
      </c>
      <c r="E314" t="s">
        <v>1606</v>
      </c>
    </row>
    <row r="315" spans="1:5" x14ac:dyDescent="0.35">
      <c r="A315" s="2" t="s">
        <v>544</v>
      </c>
      <c r="B315" s="2" t="s">
        <v>4</v>
      </c>
      <c r="C315" s="3">
        <v>1848.75</v>
      </c>
      <c r="D315" s="1">
        <v>2080</v>
      </c>
      <c r="E315" t="s">
        <v>1607</v>
      </c>
    </row>
    <row r="316" spans="1:5" x14ac:dyDescent="0.35">
      <c r="A316" s="2" t="s">
        <v>100</v>
      </c>
      <c r="B316" s="2" t="s">
        <v>4</v>
      </c>
      <c r="C316" s="3">
        <v>682.5</v>
      </c>
      <c r="D316" s="1">
        <v>770</v>
      </c>
      <c r="E316" t="s">
        <v>1608</v>
      </c>
    </row>
    <row r="317" spans="1:5" x14ac:dyDescent="0.35">
      <c r="A317" s="2" t="s">
        <v>545</v>
      </c>
      <c r="B317" s="2" t="s">
        <v>4</v>
      </c>
      <c r="C317" s="3">
        <v>473.56</v>
      </c>
      <c r="D317" s="1">
        <v>540</v>
      </c>
      <c r="E317" t="s">
        <v>1609</v>
      </c>
    </row>
    <row r="318" spans="1:5" x14ac:dyDescent="0.35">
      <c r="A318" s="2" t="s">
        <v>546</v>
      </c>
      <c r="B318" s="2" t="s">
        <v>4</v>
      </c>
      <c r="C318" s="3">
        <v>388.01</v>
      </c>
      <c r="D318" s="1">
        <v>440</v>
      </c>
      <c r="E318" t="s">
        <v>1610</v>
      </c>
    </row>
    <row r="319" spans="1:5" x14ac:dyDescent="0.35">
      <c r="A319" s="2" t="s">
        <v>547</v>
      </c>
      <c r="B319" s="2" t="s">
        <v>4</v>
      </c>
      <c r="C319" s="3">
        <v>1913.49</v>
      </c>
      <c r="D319" s="1">
        <v>2150</v>
      </c>
      <c r="E319" t="s">
        <v>1611</v>
      </c>
    </row>
    <row r="320" spans="1:5" x14ac:dyDescent="0.35">
      <c r="A320" s="2" t="s">
        <v>101</v>
      </c>
      <c r="B320" s="2" t="s">
        <v>4</v>
      </c>
      <c r="C320" s="3">
        <v>1639.26</v>
      </c>
      <c r="D320" s="1">
        <v>1840</v>
      </c>
      <c r="E320" t="s">
        <v>1612</v>
      </c>
    </row>
    <row r="321" spans="1:5" x14ac:dyDescent="0.35">
      <c r="A321" s="2" t="s">
        <v>102</v>
      </c>
      <c r="B321" s="2" t="s">
        <v>4</v>
      </c>
      <c r="C321" s="3">
        <v>3301.97</v>
      </c>
      <c r="D321" s="1">
        <v>3700</v>
      </c>
      <c r="E321" t="s">
        <v>1613</v>
      </c>
    </row>
    <row r="322" spans="1:5" x14ac:dyDescent="0.35">
      <c r="A322" s="2" t="s">
        <v>548</v>
      </c>
      <c r="B322" s="2" t="s">
        <v>4</v>
      </c>
      <c r="C322" s="3">
        <v>2238.0500000000002</v>
      </c>
      <c r="D322" s="1">
        <v>2510</v>
      </c>
      <c r="E322" t="s">
        <v>1614</v>
      </c>
    </row>
    <row r="323" spans="1:5" x14ac:dyDescent="0.35">
      <c r="A323" s="2" t="s">
        <v>549</v>
      </c>
      <c r="B323" s="2" t="s">
        <v>4</v>
      </c>
      <c r="C323" s="3">
        <v>2080.0500000000002</v>
      </c>
      <c r="D323" s="1">
        <v>2330</v>
      </c>
      <c r="E323" t="s">
        <v>1615</v>
      </c>
    </row>
    <row r="324" spans="1:5" x14ac:dyDescent="0.35">
      <c r="A324" s="2" t="s">
        <v>550</v>
      </c>
      <c r="B324" s="2" t="s">
        <v>4</v>
      </c>
      <c r="C324" s="3">
        <v>4263.97</v>
      </c>
      <c r="D324" s="1">
        <v>4780</v>
      </c>
      <c r="E324" t="s">
        <v>1616</v>
      </c>
    </row>
    <row r="325" spans="1:5" x14ac:dyDescent="0.35">
      <c r="A325" s="2" t="s">
        <v>551</v>
      </c>
      <c r="B325" s="2" t="s">
        <v>4</v>
      </c>
      <c r="C325" s="3">
        <v>5123.8999999999996</v>
      </c>
      <c r="D325" s="1">
        <v>5740</v>
      </c>
      <c r="E325" t="s">
        <v>1617</v>
      </c>
    </row>
    <row r="326" spans="1:5" x14ac:dyDescent="0.35">
      <c r="A326" s="2" t="s">
        <v>103</v>
      </c>
      <c r="B326" s="2" t="s">
        <v>4</v>
      </c>
      <c r="C326" s="3">
        <v>63823.73</v>
      </c>
      <c r="D326" s="1">
        <v>71490</v>
      </c>
      <c r="E326" t="s">
        <v>1618</v>
      </c>
    </row>
    <row r="327" spans="1:5" x14ac:dyDescent="0.35">
      <c r="A327" s="2" t="s">
        <v>552</v>
      </c>
      <c r="B327" s="2" t="s">
        <v>4</v>
      </c>
      <c r="C327" s="3">
        <v>9602.58</v>
      </c>
      <c r="D327" s="1">
        <v>10760</v>
      </c>
      <c r="E327" t="s">
        <v>1619</v>
      </c>
    </row>
    <row r="328" spans="1:5" x14ac:dyDescent="0.35">
      <c r="A328" s="2" t="s">
        <v>553</v>
      </c>
      <c r="B328" s="2" t="s">
        <v>4</v>
      </c>
      <c r="C328" s="3">
        <v>18554.36</v>
      </c>
      <c r="D328" s="1">
        <v>20790</v>
      </c>
      <c r="E328" t="s">
        <v>1620</v>
      </c>
    </row>
    <row r="329" spans="1:5" x14ac:dyDescent="0.35">
      <c r="A329" s="2" t="s">
        <v>554</v>
      </c>
      <c r="B329" s="2" t="s">
        <v>4</v>
      </c>
      <c r="C329" s="3">
        <v>3356.91</v>
      </c>
      <c r="D329" s="1">
        <v>3760</v>
      </c>
      <c r="E329" t="s">
        <v>1621</v>
      </c>
    </row>
    <row r="330" spans="1:5" x14ac:dyDescent="0.35">
      <c r="A330" s="2" t="s">
        <v>555</v>
      </c>
      <c r="B330" s="2" t="s">
        <v>4</v>
      </c>
      <c r="C330" s="3">
        <v>3717.5</v>
      </c>
      <c r="D330" s="1">
        <v>4170</v>
      </c>
      <c r="E330" t="s">
        <v>1622</v>
      </c>
    </row>
    <row r="331" spans="1:5" x14ac:dyDescent="0.35">
      <c r="A331" s="2" t="s">
        <v>556</v>
      </c>
      <c r="B331" s="2" t="s">
        <v>4</v>
      </c>
      <c r="C331" s="3">
        <v>6541</v>
      </c>
      <c r="D331" s="1">
        <v>7330</v>
      </c>
      <c r="E331" t="s">
        <v>1623</v>
      </c>
    </row>
    <row r="332" spans="1:5" x14ac:dyDescent="0.35">
      <c r="A332" s="2" t="s">
        <v>104</v>
      </c>
      <c r="B332" s="2" t="s">
        <v>4</v>
      </c>
      <c r="C332" s="3">
        <v>5036.53</v>
      </c>
      <c r="D332" s="1">
        <v>5650</v>
      </c>
      <c r="E332" t="s">
        <v>1624</v>
      </c>
    </row>
    <row r="333" spans="1:5" x14ac:dyDescent="0.35">
      <c r="A333" s="2" t="s">
        <v>105</v>
      </c>
      <c r="B333" s="2" t="s">
        <v>374</v>
      </c>
      <c r="C333" s="3">
        <v>400.79</v>
      </c>
      <c r="D333" s="1">
        <v>450</v>
      </c>
      <c r="E333" t="s">
        <v>1625</v>
      </c>
    </row>
    <row r="334" spans="1:5" x14ac:dyDescent="0.35">
      <c r="A334" s="2" t="s">
        <v>106</v>
      </c>
      <c r="B334" s="2" t="s">
        <v>4</v>
      </c>
      <c r="C334" s="3">
        <v>3075.63</v>
      </c>
      <c r="D334" s="1">
        <v>3450</v>
      </c>
      <c r="E334" t="s">
        <v>1625</v>
      </c>
    </row>
    <row r="335" spans="1:5" x14ac:dyDescent="0.35">
      <c r="A335" s="2" t="s">
        <v>107</v>
      </c>
      <c r="B335" s="2" t="s">
        <v>4</v>
      </c>
      <c r="C335" s="3">
        <v>4726.33</v>
      </c>
      <c r="D335" s="1">
        <v>5300</v>
      </c>
      <c r="E335" t="s">
        <v>1626</v>
      </c>
    </row>
    <row r="336" spans="1:5" x14ac:dyDescent="0.35">
      <c r="A336" s="2" t="s">
        <v>557</v>
      </c>
      <c r="B336" s="2" t="s">
        <v>4</v>
      </c>
      <c r="C336" s="3">
        <v>6374.6</v>
      </c>
      <c r="D336" s="1">
        <v>7140</v>
      </c>
      <c r="E336" t="s">
        <v>1627</v>
      </c>
    </row>
    <row r="337" spans="1:5" x14ac:dyDescent="0.35">
      <c r="A337" s="2" t="s">
        <v>108</v>
      </c>
      <c r="B337" s="2" t="s">
        <v>4</v>
      </c>
      <c r="C337" s="3">
        <v>3042.29</v>
      </c>
      <c r="D337" s="1">
        <v>3410</v>
      </c>
      <c r="E337" t="s">
        <v>1628</v>
      </c>
    </row>
    <row r="338" spans="1:5" x14ac:dyDescent="0.35">
      <c r="A338" s="2" t="s">
        <v>109</v>
      </c>
      <c r="B338" s="2" t="s">
        <v>4</v>
      </c>
      <c r="C338" s="3">
        <v>3073.27</v>
      </c>
      <c r="D338" s="1">
        <v>3450</v>
      </c>
      <c r="E338" t="s">
        <v>1629</v>
      </c>
    </row>
    <row r="339" spans="1:5" x14ac:dyDescent="0.35">
      <c r="A339" s="2" t="s">
        <v>110</v>
      </c>
      <c r="B339" s="2" t="s">
        <v>4</v>
      </c>
      <c r="C339" s="3">
        <v>4271.99</v>
      </c>
      <c r="D339" s="1">
        <v>4790</v>
      </c>
      <c r="E339" t="s">
        <v>1630</v>
      </c>
    </row>
    <row r="340" spans="1:5" x14ac:dyDescent="0.35">
      <c r="A340" s="2" t="s">
        <v>558</v>
      </c>
      <c r="B340" s="2" t="s">
        <v>4</v>
      </c>
      <c r="C340" s="3">
        <v>4213.59</v>
      </c>
      <c r="D340" s="1">
        <v>4720</v>
      </c>
      <c r="E340" t="s">
        <v>1631</v>
      </c>
    </row>
    <row r="341" spans="1:5" x14ac:dyDescent="0.35">
      <c r="A341" s="2" t="s">
        <v>111</v>
      </c>
      <c r="B341" s="2" t="s">
        <v>4</v>
      </c>
      <c r="C341" s="3">
        <v>5273.32</v>
      </c>
      <c r="D341" s="1">
        <v>5910</v>
      </c>
      <c r="E341" t="s">
        <v>1632</v>
      </c>
    </row>
    <row r="342" spans="1:5" x14ac:dyDescent="0.35">
      <c r="A342" s="2" t="s">
        <v>559</v>
      </c>
      <c r="B342" s="2" t="s">
        <v>4</v>
      </c>
      <c r="C342" s="3">
        <v>3763.06</v>
      </c>
      <c r="D342" s="1">
        <v>4220</v>
      </c>
      <c r="E342" t="s">
        <v>1633</v>
      </c>
    </row>
    <row r="343" spans="1:5" x14ac:dyDescent="0.35">
      <c r="A343" s="2" t="s">
        <v>560</v>
      </c>
      <c r="B343" s="2" t="s">
        <v>374</v>
      </c>
      <c r="C343" s="3">
        <v>466.84</v>
      </c>
      <c r="D343" s="1">
        <v>530</v>
      </c>
      <c r="E343" t="s">
        <v>1634</v>
      </c>
    </row>
    <row r="344" spans="1:5" x14ac:dyDescent="0.35">
      <c r="A344" s="2" t="s">
        <v>560</v>
      </c>
      <c r="B344" s="2" t="s">
        <v>5</v>
      </c>
      <c r="C344" s="3">
        <v>960.92</v>
      </c>
      <c r="D344" s="1">
        <v>1080</v>
      </c>
      <c r="E344" t="s">
        <v>1634</v>
      </c>
    </row>
    <row r="345" spans="1:5" x14ac:dyDescent="0.35">
      <c r="A345" s="2" t="s">
        <v>561</v>
      </c>
      <c r="B345" s="2" t="s">
        <v>4</v>
      </c>
      <c r="C345" s="3">
        <v>1861.83</v>
      </c>
      <c r="D345" s="1">
        <v>2090</v>
      </c>
      <c r="E345" t="s">
        <v>1634</v>
      </c>
    </row>
    <row r="346" spans="1:5" x14ac:dyDescent="0.35">
      <c r="A346" s="2" t="s">
        <v>562</v>
      </c>
      <c r="B346" s="2" t="s">
        <v>374</v>
      </c>
      <c r="C346" s="3">
        <v>224.72</v>
      </c>
      <c r="D346" s="1">
        <v>260</v>
      </c>
      <c r="E346" t="s">
        <v>1635</v>
      </c>
    </row>
    <row r="347" spans="1:5" x14ac:dyDescent="0.35">
      <c r="A347" s="2" t="s">
        <v>563</v>
      </c>
      <c r="B347" s="2" t="s">
        <v>5</v>
      </c>
      <c r="C347" s="3">
        <v>457.44</v>
      </c>
      <c r="D347" s="1">
        <v>520</v>
      </c>
      <c r="E347" t="s">
        <v>1635</v>
      </c>
    </row>
    <row r="348" spans="1:5" x14ac:dyDescent="0.35">
      <c r="A348" s="2" t="s">
        <v>564</v>
      </c>
      <c r="B348" s="2" t="s">
        <v>4</v>
      </c>
      <c r="C348" s="3">
        <v>894.98</v>
      </c>
      <c r="D348" s="1">
        <v>1010</v>
      </c>
      <c r="E348" t="s">
        <v>1635</v>
      </c>
    </row>
    <row r="349" spans="1:5" x14ac:dyDescent="0.35">
      <c r="A349" s="2" t="s">
        <v>112</v>
      </c>
      <c r="B349" s="2" t="s">
        <v>376</v>
      </c>
      <c r="C349" s="3">
        <v>117.42</v>
      </c>
      <c r="D349" s="1">
        <v>140</v>
      </c>
      <c r="E349" t="s">
        <v>1635</v>
      </c>
    </row>
    <row r="350" spans="1:5" x14ac:dyDescent="0.35">
      <c r="A350" s="2" t="s">
        <v>565</v>
      </c>
      <c r="B350" s="2" t="s">
        <v>5</v>
      </c>
      <c r="C350" s="3">
        <v>1240.23</v>
      </c>
      <c r="D350" s="1">
        <v>1390</v>
      </c>
      <c r="E350" t="s">
        <v>1636</v>
      </c>
    </row>
    <row r="351" spans="1:5" x14ac:dyDescent="0.35">
      <c r="A351" s="2" t="s">
        <v>566</v>
      </c>
      <c r="B351" s="2" t="s">
        <v>4</v>
      </c>
      <c r="C351" s="3">
        <v>1476.14</v>
      </c>
      <c r="D351" s="1">
        <v>1660</v>
      </c>
      <c r="E351" t="s">
        <v>1636</v>
      </c>
    </row>
    <row r="352" spans="1:5" x14ac:dyDescent="0.35">
      <c r="A352" s="2" t="s">
        <v>567</v>
      </c>
      <c r="B352" s="2" t="s">
        <v>4</v>
      </c>
      <c r="C352" s="3">
        <v>2171.91</v>
      </c>
      <c r="D352" s="1">
        <v>2440</v>
      </c>
      <c r="E352" t="s">
        <v>1637</v>
      </c>
    </row>
    <row r="353" spans="1:5" x14ac:dyDescent="0.35">
      <c r="A353" s="2" t="s">
        <v>568</v>
      </c>
      <c r="B353" s="2" t="s">
        <v>374</v>
      </c>
      <c r="C353" s="3">
        <v>253.52</v>
      </c>
      <c r="D353" s="1">
        <v>290</v>
      </c>
      <c r="E353" t="s">
        <v>1638</v>
      </c>
    </row>
    <row r="354" spans="1:5" x14ac:dyDescent="0.35">
      <c r="A354" s="2" t="s">
        <v>568</v>
      </c>
      <c r="B354" s="2" t="s">
        <v>5</v>
      </c>
      <c r="C354" s="3">
        <v>504.99</v>
      </c>
      <c r="D354" s="1">
        <v>570</v>
      </c>
      <c r="E354" t="s">
        <v>1638</v>
      </c>
    </row>
    <row r="355" spans="1:5" x14ac:dyDescent="0.35">
      <c r="A355" s="2" t="s">
        <v>568</v>
      </c>
      <c r="B355" s="2" t="s">
        <v>4</v>
      </c>
      <c r="C355" s="3">
        <v>990.05</v>
      </c>
      <c r="D355" s="1">
        <v>1110</v>
      </c>
      <c r="E355" t="s">
        <v>1638</v>
      </c>
    </row>
    <row r="356" spans="1:5" x14ac:dyDescent="0.35">
      <c r="A356" s="2" t="s">
        <v>569</v>
      </c>
      <c r="B356" s="2" t="s">
        <v>374</v>
      </c>
      <c r="C356" s="3">
        <v>215.6</v>
      </c>
      <c r="D356" s="1">
        <v>250</v>
      </c>
      <c r="E356" t="s">
        <v>1639</v>
      </c>
    </row>
    <row r="357" spans="1:5" x14ac:dyDescent="0.35">
      <c r="A357" s="2" t="s">
        <v>569</v>
      </c>
      <c r="B357" s="2" t="s">
        <v>5</v>
      </c>
      <c r="C357" s="3">
        <v>429.23</v>
      </c>
      <c r="D357" s="1">
        <v>490</v>
      </c>
      <c r="E357" t="s">
        <v>1639</v>
      </c>
    </row>
    <row r="358" spans="1:5" x14ac:dyDescent="0.35">
      <c r="A358" s="2" t="s">
        <v>569</v>
      </c>
      <c r="B358" s="2" t="s">
        <v>4</v>
      </c>
      <c r="C358" s="3">
        <v>828.48</v>
      </c>
      <c r="D358" s="1">
        <v>930</v>
      </c>
      <c r="E358" t="s">
        <v>1639</v>
      </c>
    </row>
    <row r="359" spans="1:5" x14ac:dyDescent="0.35">
      <c r="A359" s="2" t="s">
        <v>113</v>
      </c>
      <c r="B359" s="2" t="s">
        <v>374</v>
      </c>
      <c r="C359" s="3">
        <v>102.75</v>
      </c>
      <c r="D359" s="1">
        <v>120</v>
      </c>
      <c r="E359" t="s">
        <v>1640</v>
      </c>
    </row>
    <row r="360" spans="1:5" x14ac:dyDescent="0.35">
      <c r="A360" s="2" t="s">
        <v>570</v>
      </c>
      <c r="B360" s="2" t="s">
        <v>374</v>
      </c>
      <c r="C360" s="3">
        <v>345.1</v>
      </c>
      <c r="D360" s="1">
        <v>390</v>
      </c>
      <c r="E360" t="s">
        <v>1641</v>
      </c>
    </row>
    <row r="361" spans="1:5" x14ac:dyDescent="0.35">
      <c r="A361" s="2" t="s">
        <v>571</v>
      </c>
      <c r="B361" s="2" t="s">
        <v>4</v>
      </c>
      <c r="C361" s="3">
        <v>1682.48</v>
      </c>
      <c r="D361" s="1">
        <v>1890</v>
      </c>
      <c r="E361" t="s">
        <v>1641</v>
      </c>
    </row>
    <row r="362" spans="1:5" x14ac:dyDescent="0.35">
      <c r="A362" s="2" t="s">
        <v>114</v>
      </c>
      <c r="B362" s="2" t="s">
        <v>374</v>
      </c>
      <c r="C362" s="3">
        <v>160.08000000000001</v>
      </c>
      <c r="D362" s="1">
        <v>180</v>
      </c>
      <c r="E362" t="s">
        <v>1642</v>
      </c>
    </row>
    <row r="363" spans="1:5" x14ac:dyDescent="0.35">
      <c r="A363" s="2" t="s">
        <v>115</v>
      </c>
      <c r="B363" s="2" t="s">
        <v>4</v>
      </c>
      <c r="C363" s="3">
        <v>1733.9</v>
      </c>
      <c r="D363" s="1">
        <v>1950</v>
      </c>
      <c r="E363" t="s">
        <v>1643</v>
      </c>
    </row>
    <row r="364" spans="1:5" x14ac:dyDescent="0.35">
      <c r="A364" s="2" t="s">
        <v>572</v>
      </c>
      <c r="B364" s="2" t="s">
        <v>374</v>
      </c>
      <c r="C364" s="3">
        <v>302.02999999999997</v>
      </c>
      <c r="D364" s="1">
        <v>340</v>
      </c>
      <c r="E364" t="s">
        <v>1644</v>
      </c>
    </row>
    <row r="365" spans="1:5" x14ac:dyDescent="0.35">
      <c r="A365" s="2" t="s">
        <v>573</v>
      </c>
      <c r="B365" s="2" t="s">
        <v>4</v>
      </c>
      <c r="C365" s="3">
        <v>1213.45</v>
      </c>
      <c r="D365" s="1">
        <v>1360</v>
      </c>
      <c r="E365" t="s">
        <v>1644</v>
      </c>
    </row>
    <row r="366" spans="1:5" x14ac:dyDescent="0.35">
      <c r="A366" s="4" t="s">
        <v>948</v>
      </c>
      <c r="B366" s="2" t="s">
        <v>374</v>
      </c>
      <c r="C366" s="3">
        <v>1030.28</v>
      </c>
      <c r="D366" s="1">
        <v>1160</v>
      </c>
      <c r="E366" t="s">
        <v>1372</v>
      </c>
    </row>
    <row r="367" spans="1:5" x14ac:dyDescent="0.35">
      <c r="A367" s="2" t="s">
        <v>116</v>
      </c>
      <c r="B367" s="2" t="s">
        <v>4</v>
      </c>
      <c r="C367" s="3">
        <v>3016.48</v>
      </c>
      <c r="D367" s="1">
        <v>3380</v>
      </c>
      <c r="E367" t="s">
        <v>1645</v>
      </c>
    </row>
    <row r="368" spans="1:5" x14ac:dyDescent="0.35">
      <c r="A368" s="2" t="s">
        <v>117</v>
      </c>
      <c r="B368" s="2" t="s">
        <v>4</v>
      </c>
      <c r="C368" s="3">
        <v>4746</v>
      </c>
      <c r="D368" s="1">
        <v>5320</v>
      </c>
      <c r="E368" t="s">
        <v>1646</v>
      </c>
    </row>
    <row r="369" spans="1:5" x14ac:dyDescent="0.35">
      <c r="A369" s="2" t="s">
        <v>574</v>
      </c>
      <c r="B369" s="2" t="s">
        <v>4</v>
      </c>
      <c r="C369" s="3">
        <v>3419.06</v>
      </c>
      <c r="D369" s="1">
        <v>3830</v>
      </c>
      <c r="E369" t="s">
        <v>1647</v>
      </c>
    </row>
    <row r="370" spans="1:5" x14ac:dyDescent="0.35">
      <c r="A370" s="2" t="s">
        <v>575</v>
      </c>
      <c r="B370" s="2" t="s">
        <v>4</v>
      </c>
      <c r="C370" s="3">
        <v>947.66</v>
      </c>
      <c r="D370" s="1">
        <v>1070</v>
      </c>
      <c r="E370" t="s">
        <v>1648</v>
      </c>
    </row>
    <row r="371" spans="1:5" x14ac:dyDescent="0.35">
      <c r="A371" s="2" t="s">
        <v>576</v>
      </c>
      <c r="B371" s="2" t="s">
        <v>4</v>
      </c>
      <c r="C371" s="3">
        <v>2409.38</v>
      </c>
      <c r="D371" s="1">
        <v>2700</v>
      </c>
      <c r="E371" t="s">
        <v>1649</v>
      </c>
    </row>
    <row r="372" spans="1:5" x14ac:dyDescent="0.35">
      <c r="A372" s="2" t="s">
        <v>577</v>
      </c>
      <c r="B372" s="2" t="s">
        <v>374</v>
      </c>
      <c r="C372" s="3">
        <v>167.71</v>
      </c>
      <c r="D372" s="1">
        <v>190</v>
      </c>
      <c r="E372" t="s">
        <v>1650</v>
      </c>
    </row>
    <row r="373" spans="1:5" x14ac:dyDescent="0.35">
      <c r="A373" s="2" t="s">
        <v>577</v>
      </c>
      <c r="B373" s="2" t="s">
        <v>5</v>
      </c>
      <c r="C373" s="3">
        <v>342.72</v>
      </c>
      <c r="D373" s="1">
        <v>390</v>
      </c>
      <c r="E373" t="s">
        <v>1651</v>
      </c>
    </row>
    <row r="374" spans="1:5" x14ac:dyDescent="0.35">
      <c r="A374" s="2" t="s">
        <v>577</v>
      </c>
      <c r="B374" s="2" t="s">
        <v>4</v>
      </c>
      <c r="C374" s="3">
        <v>664.91</v>
      </c>
      <c r="D374" s="1">
        <v>750</v>
      </c>
      <c r="E374" t="s">
        <v>1651</v>
      </c>
    </row>
    <row r="375" spans="1:5" x14ac:dyDescent="0.35">
      <c r="A375" s="2" t="s">
        <v>118</v>
      </c>
      <c r="B375" s="2" t="s">
        <v>4</v>
      </c>
      <c r="C375" s="3">
        <v>4075.46</v>
      </c>
      <c r="D375" s="1">
        <v>4570</v>
      </c>
      <c r="E375" t="s">
        <v>1652</v>
      </c>
    </row>
    <row r="376" spans="1:5" x14ac:dyDescent="0.35">
      <c r="A376" s="2" t="s">
        <v>119</v>
      </c>
      <c r="B376" s="2" t="s">
        <v>4</v>
      </c>
      <c r="C376" s="3">
        <v>3499.42</v>
      </c>
      <c r="D376" s="1">
        <v>3920</v>
      </c>
      <c r="E376" t="s">
        <v>1653</v>
      </c>
    </row>
    <row r="377" spans="1:5" x14ac:dyDescent="0.35">
      <c r="A377" s="2" t="s">
        <v>578</v>
      </c>
      <c r="B377" s="2" t="s">
        <v>5</v>
      </c>
      <c r="C377" s="3">
        <v>539.20000000000005</v>
      </c>
      <c r="D377" s="1">
        <v>610</v>
      </c>
      <c r="E377" t="s">
        <v>1654</v>
      </c>
    </row>
    <row r="378" spans="1:5" x14ac:dyDescent="0.35">
      <c r="A378" s="2" t="s">
        <v>120</v>
      </c>
      <c r="B378" s="2" t="s">
        <v>374</v>
      </c>
      <c r="C378" s="3">
        <v>548.72</v>
      </c>
      <c r="D378" s="1">
        <v>620</v>
      </c>
      <c r="E378" t="s">
        <v>1082</v>
      </c>
    </row>
    <row r="379" spans="1:5" x14ac:dyDescent="0.35">
      <c r="A379" s="2" t="s">
        <v>579</v>
      </c>
      <c r="B379" s="2" t="s">
        <v>4</v>
      </c>
      <c r="C379" s="3">
        <v>1652.82</v>
      </c>
      <c r="D379" s="1">
        <v>1860</v>
      </c>
      <c r="E379" t="s">
        <v>1082</v>
      </c>
    </row>
    <row r="380" spans="1:5" x14ac:dyDescent="0.35">
      <c r="A380" s="2" t="s">
        <v>121</v>
      </c>
      <c r="B380" s="2" t="s">
        <v>4</v>
      </c>
      <c r="C380" s="3">
        <v>5177.28</v>
      </c>
      <c r="D380" s="1">
        <v>5800</v>
      </c>
      <c r="E380" t="s">
        <v>1655</v>
      </c>
    </row>
    <row r="381" spans="1:5" x14ac:dyDescent="0.35">
      <c r="A381" s="2" t="s">
        <v>122</v>
      </c>
      <c r="B381" s="2" t="s">
        <v>4</v>
      </c>
      <c r="C381" s="3">
        <v>8085.68</v>
      </c>
      <c r="D381" s="1">
        <v>9060</v>
      </c>
      <c r="E381" t="s">
        <v>1656</v>
      </c>
    </row>
    <row r="382" spans="1:5" x14ac:dyDescent="0.35">
      <c r="A382" s="2" t="s">
        <v>123</v>
      </c>
      <c r="B382" s="2" t="s">
        <v>4</v>
      </c>
      <c r="C382" s="3">
        <v>23376.5</v>
      </c>
      <c r="D382" s="1">
        <v>26190</v>
      </c>
      <c r="E382" t="s">
        <v>1657</v>
      </c>
    </row>
    <row r="383" spans="1:5" x14ac:dyDescent="0.35">
      <c r="A383" s="2" t="s">
        <v>124</v>
      </c>
      <c r="B383" s="2" t="s">
        <v>4</v>
      </c>
      <c r="C383" s="3">
        <v>824.22</v>
      </c>
      <c r="D383" s="1">
        <v>930</v>
      </c>
      <c r="E383" t="s">
        <v>1658</v>
      </c>
    </row>
    <row r="384" spans="1:5" x14ac:dyDescent="0.35">
      <c r="A384" s="2" t="s">
        <v>125</v>
      </c>
      <c r="B384" s="2" t="s">
        <v>4</v>
      </c>
      <c r="C384" s="3">
        <v>9452.4500000000007</v>
      </c>
      <c r="D384" s="1">
        <v>10590</v>
      </c>
      <c r="E384" t="s">
        <v>1659</v>
      </c>
    </row>
    <row r="385" spans="1:5" x14ac:dyDescent="0.35">
      <c r="A385" s="2" t="s">
        <v>126</v>
      </c>
      <c r="B385" s="2" t="s">
        <v>4</v>
      </c>
      <c r="C385" s="3">
        <v>4922.6099999999997</v>
      </c>
      <c r="D385" s="1">
        <v>5520</v>
      </c>
      <c r="E385" t="s">
        <v>1660</v>
      </c>
    </row>
    <row r="386" spans="1:5" x14ac:dyDescent="0.35">
      <c r="A386" s="2" t="s">
        <v>127</v>
      </c>
      <c r="B386" s="2" t="s">
        <v>4</v>
      </c>
      <c r="C386" s="3">
        <v>7947.09</v>
      </c>
      <c r="D386" s="1">
        <v>8910</v>
      </c>
      <c r="E386" t="s">
        <v>1661</v>
      </c>
    </row>
    <row r="387" spans="1:5" x14ac:dyDescent="0.35">
      <c r="A387" s="2" t="s">
        <v>580</v>
      </c>
      <c r="B387" s="2" t="s">
        <v>4</v>
      </c>
      <c r="C387" s="3">
        <v>23612.49</v>
      </c>
      <c r="D387" s="1">
        <v>26450</v>
      </c>
      <c r="E387" t="s">
        <v>1662</v>
      </c>
    </row>
    <row r="388" spans="1:5" x14ac:dyDescent="0.35">
      <c r="A388" s="2" t="s">
        <v>128</v>
      </c>
      <c r="B388" s="2" t="s">
        <v>4</v>
      </c>
      <c r="C388" s="3">
        <v>4241.8900000000003</v>
      </c>
      <c r="D388" s="1">
        <v>4760</v>
      </c>
      <c r="E388" t="s">
        <v>1663</v>
      </c>
    </row>
    <row r="389" spans="1:5" x14ac:dyDescent="0.35">
      <c r="A389" s="2" t="s">
        <v>129</v>
      </c>
      <c r="B389" s="2" t="s">
        <v>374</v>
      </c>
      <c r="C389" s="3">
        <v>215.67</v>
      </c>
      <c r="D389" s="1">
        <v>250</v>
      </c>
      <c r="E389" t="s">
        <v>1664</v>
      </c>
    </row>
    <row r="390" spans="1:5" x14ac:dyDescent="0.35">
      <c r="A390" s="2" t="s">
        <v>130</v>
      </c>
      <c r="B390" s="2" t="s">
        <v>5</v>
      </c>
      <c r="C390" s="3">
        <v>429.31</v>
      </c>
      <c r="D390" s="1">
        <v>490</v>
      </c>
      <c r="E390" t="s">
        <v>1664</v>
      </c>
    </row>
    <row r="391" spans="1:5" x14ac:dyDescent="0.35">
      <c r="A391" s="2" t="s">
        <v>131</v>
      </c>
      <c r="B391" s="2" t="s">
        <v>4</v>
      </c>
      <c r="C391" s="3">
        <v>828.61</v>
      </c>
      <c r="D391" s="1">
        <v>930</v>
      </c>
      <c r="E391" t="s">
        <v>1664</v>
      </c>
    </row>
    <row r="392" spans="1:5" x14ac:dyDescent="0.35">
      <c r="A392" s="2" t="s">
        <v>132</v>
      </c>
      <c r="B392" s="2" t="s">
        <v>374</v>
      </c>
      <c r="C392" s="3">
        <v>139.22999999999999</v>
      </c>
      <c r="D392" s="1">
        <v>160</v>
      </c>
      <c r="E392" t="s">
        <v>1665</v>
      </c>
    </row>
    <row r="393" spans="1:5" x14ac:dyDescent="0.35">
      <c r="A393" s="2" t="s">
        <v>581</v>
      </c>
      <c r="B393" s="2" t="s">
        <v>5</v>
      </c>
      <c r="C393" s="3">
        <v>277.29000000000002</v>
      </c>
      <c r="D393" s="1">
        <v>320</v>
      </c>
      <c r="E393" t="s">
        <v>1665</v>
      </c>
    </row>
    <row r="394" spans="1:5" x14ac:dyDescent="0.35">
      <c r="A394" s="2" t="s">
        <v>581</v>
      </c>
      <c r="B394" s="2" t="s">
        <v>4</v>
      </c>
      <c r="C394" s="3">
        <v>534.41999999999996</v>
      </c>
      <c r="D394" s="1">
        <v>600</v>
      </c>
      <c r="E394" t="s">
        <v>1665</v>
      </c>
    </row>
    <row r="395" spans="1:5" x14ac:dyDescent="0.35">
      <c r="A395" s="2" t="s">
        <v>582</v>
      </c>
      <c r="B395" s="2" t="s">
        <v>374</v>
      </c>
      <c r="C395" s="3">
        <v>129.94999999999999</v>
      </c>
      <c r="D395" s="1">
        <v>150</v>
      </c>
      <c r="E395" t="s">
        <v>1666</v>
      </c>
    </row>
    <row r="396" spans="1:5" x14ac:dyDescent="0.35">
      <c r="A396" s="2" t="s">
        <v>582</v>
      </c>
      <c r="B396" s="2" t="s">
        <v>5</v>
      </c>
      <c r="C396" s="3">
        <v>268.17</v>
      </c>
      <c r="D396" s="1">
        <v>310</v>
      </c>
      <c r="E396" t="s">
        <v>1666</v>
      </c>
    </row>
    <row r="397" spans="1:5" x14ac:dyDescent="0.35">
      <c r="A397" s="2" t="s">
        <v>582</v>
      </c>
      <c r="B397" s="2" t="s">
        <v>4</v>
      </c>
      <c r="C397" s="3">
        <v>516.37</v>
      </c>
      <c r="D397" s="1">
        <v>580</v>
      </c>
      <c r="E397" t="s">
        <v>1666</v>
      </c>
    </row>
    <row r="398" spans="1:5" x14ac:dyDescent="0.35">
      <c r="A398" s="2" t="s">
        <v>583</v>
      </c>
      <c r="B398" s="2" t="s">
        <v>374</v>
      </c>
      <c r="C398" s="3">
        <v>139.66</v>
      </c>
      <c r="D398" s="1">
        <v>160</v>
      </c>
      <c r="E398" t="s">
        <v>1090</v>
      </c>
    </row>
    <row r="399" spans="1:5" x14ac:dyDescent="0.35">
      <c r="A399" s="2" t="s">
        <v>584</v>
      </c>
      <c r="B399" s="2" t="s">
        <v>4</v>
      </c>
      <c r="C399" s="3">
        <v>535.24</v>
      </c>
      <c r="D399" s="1">
        <v>600</v>
      </c>
      <c r="E399" t="s">
        <v>1090</v>
      </c>
    </row>
    <row r="400" spans="1:5" x14ac:dyDescent="0.35">
      <c r="A400" s="2" t="s">
        <v>585</v>
      </c>
      <c r="B400" s="2" t="s">
        <v>374</v>
      </c>
      <c r="C400" s="3">
        <v>102.71</v>
      </c>
      <c r="D400" s="1">
        <v>120</v>
      </c>
      <c r="E400" t="s">
        <v>1667</v>
      </c>
    </row>
    <row r="401" spans="1:5" x14ac:dyDescent="0.35">
      <c r="A401" s="2" t="s">
        <v>586</v>
      </c>
      <c r="B401" s="2" t="s">
        <v>4</v>
      </c>
      <c r="C401" s="3">
        <v>1531.73</v>
      </c>
      <c r="D401" s="1">
        <v>1720</v>
      </c>
      <c r="E401" t="s">
        <v>1668</v>
      </c>
    </row>
    <row r="402" spans="1:5" x14ac:dyDescent="0.35">
      <c r="A402" s="2" t="s">
        <v>587</v>
      </c>
      <c r="B402" s="2" t="s">
        <v>4</v>
      </c>
      <c r="C402" s="3">
        <v>8198.76</v>
      </c>
      <c r="D402" s="1">
        <v>9190</v>
      </c>
      <c r="E402" t="s">
        <v>1669</v>
      </c>
    </row>
    <row r="403" spans="1:5" x14ac:dyDescent="0.35">
      <c r="A403" s="2" t="s">
        <v>133</v>
      </c>
      <c r="B403" s="2" t="s">
        <v>4</v>
      </c>
      <c r="C403" s="3">
        <v>5070.01</v>
      </c>
      <c r="D403" s="1">
        <v>5680</v>
      </c>
      <c r="E403" t="s">
        <v>1670</v>
      </c>
    </row>
    <row r="404" spans="1:5" x14ac:dyDescent="0.35">
      <c r="A404" s="2" t="s">
        <v>134</v>
      </c>
      <c r="B404" s="2" t="s">
        <v>4</v>
      </c>
      <c r="C404" s="3">
        <v>3971.19</v>
      </c>
      <c r="D404" s="1">
        <v>4450</v>
      </c>
      <c r="E404" t="s">
        <v>1671</v>
      </c>
    </row>
    <row r="405" spans="1:5" x14ac:dyDescent="0.35">
      <c r="A405" s="2" t="s">
        <v>135</v>
      </c>
      <c r="B405" s="2" t="s">
        <v>376</v>
      </c>
      <c r="C405" s="3">
        <v>342.56</v>
      </c>
      <c r="D405" s="1">
        <v>390</v>
      </c>
      <c r="E405" t="s">
        <v>1671</v>
      </c>
    </row>
    <row r="406" spans="1:5" x14ac:dyDescent="0.35">
      <c r="A406" s="2" t="s">
        <v>588</v>
      </c>
      <c r="B406" s="2" t="s">
        <v>374</v>
      </c>
      <c r="C406" s="3">
        <v>129.94999999999999</v>
      </c>
      <c r="D406" s="1">
        <v>150</v>
      </c>
      <c r="E406" t="s">
        <v>1672</v>
      </c>
    </row>
    <row r="407" spans="1:5" x14ac:dyDescent="0.35">
      <c r="A407" s="2" t="s">
        <v>589</v>
      </c>
      <c r="B407" s="2" t="s">
        <v>4</v>
      </c>
      <c r="C407" s="3">
        <v>1213.28</v>
      </c>
      <c r="D407" s="1">
        <v>1360</v>
      </c>
      <c r="E407" t="s">
        <v>1673</v>
      </c>
    </row>
    <row r="408" spans="1:5" x14ac:dyDescent="0.35">
      <c r="A408" s="2" t="s">
        <v>590</v>
      </c>
      <c r="B408" s="2" t="s">
        <v>374</v>
      </c>
      <c r="C408" s="3">
        <v>301.99</v>
      </c>
      <c r="D408" s="1">
        <v>340</v>
      </c>
      <c r="E408" t="s">
        <v>1674</v>
      </c>
    </row>
    <row r="409" spans="1:5" x14ac:dyDescent="0.35">
      <c r="A409" s="2" t="s">
        <v>136</v>
      </c>
      <c r="B409" s="2" t="s">
        <v>4</v>
      </c>
      <c r="C409" s="3">
        <v>8681.1</v>
      </c>
      <c r="D409" s="1">
        <v>9730</v>
      </c>
      <c r="E409" t="s">
        <v>1675</v>
      </c>
    </row>
    <row r="410" spans="1:5" x14ac:dyDescent="0.35">
      <c r="A410" s="2" t="s">
        <v>137</v>
      </c>
      <c r="B410" s="2" t="s">
        <v>4</v>
      </c>
      <c r="C410" s="3">
        <v>7363.17</v>
      </c>
      <c r="D410" s="1">
        <v>8250</v>
      </c>
      <c r="E410" t="s">
        <v>1676</v>
      </c>
    </row>
    <row r="411" spans="1:5" x14ac:dyDescent="0.35">
      <c r="A411" s="2" t="s">
        <v>591</v>
      </c>
      <c r="B411" s="2" t="s">
        <v>4</v>
      </c>
      <c r="C411" s="3">
        <v>3717.32</v>
      </c>
      <c r="D411" s="1">
        <v>4170</v>
      </c>
      <c r="E411" t="s">
        <v>1677</v>
      </c>
    </row>
    <row r="412" spans="1:5" x14ac:dyDescent="0.35">
      <c r="A412" s="2" t="s">
        <v>592</v>
      </c>
      <c r="B412" s="2" t="s">
        <v>5</v>
      </c>
      <c r="C412" s="3">
        <v>1645.78</v>
      </c>
      <c r="D412" s="1">
        <v>1850</v>
      </c>
      <c r="E412" t="s">
        <v>1678</v>
      </c>
    </row>
    <row r="413" spans="1:5" x14ac:dyDescent="0.35">
      <c r="A413" s="2" t="s">
        <v>593</v>
      </c>
      <c r="B413" s="2" t="s">
        <v>4</v>
      </c>
      <c r="C413" s="3">
        <v>2935.11</v>
      </c>
      <c r="D413" s="1">
        <v>3290</v>
      </c>
      <c r="E413" t="s">
        <v>1678</v>
      </c>
    </row>
    <row r="414" spans="1:5" x14ac:dyDescent="0.35">
      <c r="A414" s="2" t="s">
        <v>138</v>
      </c>
      <c r="B414" s="2" t="s">
        <v>374</v>
      </c>
      <c r="C414" s="3">
        <v>264.12</v>
      </c>
      <c r="D414" s="1">
        <v>300</v>
      </c>
      <c r="E414" t="s">
        <v>1679</v>
      </c>
    </row>
    <row r="415" spans="1:5" x14ac:dyDescent="0.35">
      <c r="A415" s="2" t="s">
        <v>139</v>
      </c>
      <c r="B415" s="2" t="s">
        <v>4</v>
      </c>
      <c r="C415" s="3">
        <v>2563.5300000000002</v>
      </c>
      <c r="D415" s="1">
        <v>2880</v>
      </c>
      <c r="E415" t="s">
        <v>1679</v>
      </c>
    </row>
    <row r="416" spans="1:5" x14ac:dyDescent="0.35">
      <c r="A416" s="2" t="s">
        <v>140</v>
      </c>
      <c r="B416" s="2" t="s">
        <v>4</v>
      </c>
      <c r="C416" s="3">
        <v>2581.36</v>
      </c>
      <c r="D416" s="1">
        <v>2900</v>
      </c>
      <c r="E416" t="s">
        <v>1680</v>
      </c>
    </row>
    <row r="417" spans="1:5" x14ac:dyDescent="0.35">
      <c r="A417" s="2" t="s">
        <v>141</v>
      </c>
      <c r="B417" s="2" t="s">
        <v>374</v>
      </c>
      <c r="C417" s="3">
        <v>266.02</v>
      </c>
      <c r="D417" s="1">
        <v>300</v>
      </c>
      <c r="E417" t="s">
        <v>1681</v>
      </c>
    </row>
    <row r="418" spans="1:5" x14ac:dyDescent="0.35">
      <c r="A418" s="2" t="s">
        <v>594</v>
      </c>
      <c r="B418" s="2" t="s">
        <v>4</v>
      </c>
      <c r="C418" s="3">
        <v>3877.93</v>
      </c>
      <c r="D418" s="1">
        <v>4350</v>
      </c>
      <c r="E418" t="s">
        <v>1682</v>
      </c>
    </row>
    <row r="419" spans="1:5" x14ac:dyDescent="0.35">
      <c r="A419" s="2" t="s">
        <v>595</v>
      </c>
      <c r="B419" s="2" t="s">
        <v>374</v>
      </c>
      <c r="C419" s="3">
        <v>894.48</v>
      </c>
      <c r="D419" s="1">
        <v>1010</v>
      </c>
      <c r="E419" t="s">
        <v>1682</v>
      </c>
    </row>
    <row r="420" spans="1:5" x14ac:dyDescent="0.35">
      <c r="A420" s="2" t="s">
        <v>596</v>
      </c>
      <c r="B420" s="2" t="s">
        <v>5</v>
      </c>
      <c r="C420" s="3">
        <v>1647.45</v>
      </c>
      <c r="D420" s="1">
        <v>1850</v>
      </c>
      <c r="E420" t="s">
        <v>1682</v>
      </c>
    </row>
    <row r="421" spans="1:5" x14ac:dyDescent="0.35">
      <c r="A421" s="2" t="s">
        <v>142</v>
      </c>
      <c r="B421" s="2" t="s">
        <v>4</v>
      </c>
      <c r="C421" s="3">
        <v>5981.55</v>
      </c>
      <c r="D421" s="1">
        <v>6700</v>
      </c>
      <c r="E421" t="s">
        <v>1683</v>
      </c>
    </row>
    <row r="422" spans="1:5" x14ac:dyDescent="0.35">
      <c r="A422" s="2" t="s">
        <v>143</v>
      </c>
      <c r="B422" s="2" t="s">
        <v>4</v>
      </c>
      <c r="C422" s="3">
        <v>2535.6</v>
      </c>
      <c r="D422" s="1">
        <v>2840</v>
      </c>
      <c r="E422" t="s">
        <v>1684</v>
      </c>
    </row>
    <row r="423" spans="1:5" x14ac:dyDescent="0.35">
      <c r="A423" s="2" t="s">
        <v>144</v>
      </c>
      <c r="B423" s="2" t="s">
        <v>4</v>
      </c>
      <c r="C423" s="3">
        <v>1246.42</v>
      </c>
      <c r="D423" s="1">
        <v>1400</v>
      </c>
      <c r="E423" t="s">
        <v>1685</v>
      </c>
    </row>
    <row r="424" spans="1:5" x14ac:dyDescent="0.35">
      <c r="A424" s="2" t="s">
        <v>145</v>
      </c>
      <c r="B424" s="2" t="s">
        <v>4</v>
      </c>
      <c r="C424" s="3">
        <v>1508.64</v>
      </c>
      <c r="D424" s="1">
        <v>1690</v>
      </c>
      <c r="E424" t="s">
        <v>1686</v>
      </c>
    </row>
    <row r="425" spans="1:5" x14ac:dyDescent="0.35">
      <c r="A425" s="2" t="s">
        <v>597</v>
      </c>
      <c r="B425" s="2" t="s">
        <v>4</v>
      </c>
      <c r="C425" s="3">
        <v>1924.9</v>
      </c>
      <c r="D425" s="1">
        <v>2160</v>
      </c>
      <c r="E425" t="s">
        <v>1687</v>
      </c>
    </row>
    <row r="426" spans="1:5" x14ac:dyDescent="0.35">
      <c r="A426" s="2" t="s">
        <v>598</v>
      </c>
      <c r="B426" s="2" t="s">
        <v>4</v>
      </c>
      <c r="C426" s="3">
        <v>1511.52</v>
      </c>
      <c r="D426" s="1">
        <v>1700</v>
      </c>
      <c r="E426" t="s">
        <v>1688</v>
      </c>
    </row>
    <row r="427" spans="1:5" x14ac:dyDescent="0.35">
      <c r="A427" s="2" t="s">
        <v>599</v>
      </c>
      <c r="B427" s="2" t="s">
        <v>5</v>
      </c>
      <c r="C427" s="3">
        <v>1547.18</v>
      </c>
      <c r="D427" s="1">
        <v>1740</v>
      </c>
      <c r="E427" t="s">
        <v>1689</v>
      </c>
    </row>
    <row r="428" spans="1:5" x14ac:dyDescent="0.35">
      <c r="A428" s="2" t="s">
        <v>600</v>
      </c>
      <c r="B428" s="2" t="s">
        <v>374</v>
      </c>
      <c r="C428" s="3">
        <v>350.13</v>
      </c>
      <c r="D428" s="1">
        <v>400</v>
      </c>
      <c r="E428" t="s">
        <v>1689</v>
      </c>
    </row>
    <row r="429" spans="1:5" x14ac:dyDescent="0.35">
      <c r="A429" s="2" t="s">
        <v>146</v>
      </c>
      <c r="B429" s="2" t="s">
        <v>4</v>
      </c>
      <c r="C429" s="3">
        <v>2825.06</v>
      </c>
      <c r="D429" s="1">
        <v>3170</v>
      </c>
      <c r="E429" t="s">
        <v>1689</v>
      </c>
    </row>
    <row r="430" spans="1:5" x14ac:dyDescent="0.35">
      <c r="A430" s="2" t="s">
        <v>601</v>
      </c>
      <c r="B430" s="2" t="s">
        <v>4</v>
      </c>
      <c r="C430" s="3">
        <v>2823.6</v>
      </c>
      <c r="D430" s="1">
        <v>3170</v>
      </c>
      <c r="E430" t="s">
        <v>1690</v>
      </c>
    </row>
    <row r="431" spans="1:5" x14ac:dyDescent="0.35">
      <c r="A431" s="2" t="s">
        <v>602</v>
      </c>
      <c r="B431" s="2" t="s">
        <v>4</v>
      </c>
      <c r="C431" s="3">
        <v>3071.16</v>
      </c>
      <c r="D431" s="1">
        <v>3440</v>
      </c>
      <c r="E431" t="s">
        <v>1691</v>
      </c>
    </row>
    <row r="432" spans="1:5" x14ac:dyDescent="0.35">
      <c r="A432" s="2" t="s">
        <v>147</v>
      </c>
      <c r="B432" s="2" t="s">
        <v>5</v>
      </c>
      <c r="C432" s="3">
        <v>3809.42</v>
      </c>
      <c r="D432" s="1">
        <v>4270</v>
      </c>
      <c r="E432" t="s">
        <v>1692</v>
      </c>
    </row>
    <row r="433" spans="1:5" x14ac:dyDescent="0.35">
      <c r="A433" s="2" t="s">
        <v>148</v>
      </c>
      <c r="B433" s="2" t="s">
        <v>4</v>
      </c>
      <c r="C433" s="3">
        <v>3787.7</v>
      </c>
      <c r="D433" s="1">
        <v>4250</v>
      </c>
      <c r="E433" t="s">
        <v>1693</v>
      </c>
    </row>
    <row r="434" spans="1:5" x14ac:dyDescent="0.35">
      <c r="A434" s="2" t="s">
        <v>149</v>
      </c>
      <c r="B434" s="2" t="s">
        <v>4</v>
      </c>
      <c r="C434" s="3">
        <v>2848.82</v>
      </c>
      <c r="D434" s="1">
        <v>3200</v>
      </c>
      <c r="E434" t="s">
        <v>1694</v>
      </c>
    </row>
    <row r="435" spans="1:5" x14ac:dyDescent="0.35">
      <c r="A435" s="2" t="s">
        <v>603</v>
      </c>
      <c r="B435" s="2" t="s">
        <v>4</v>
      </c>
      <c r="C435" s="3">
        <v>2394.64</v>
      </c>
      <c r="D435" s="1">
        <v>2690</v>
      </c>
      <c r="E435" t="s">
        <v>1695</v>
      </c>
    </row>
    <row r="436" spans="1:5" x14ac:dyDescent="0.35">
      <c r="A436" s="2" t="s">
        <v>150</v>
      </c>
      <c r="B436" s="2" t="s">
        <v>374</v>
      </c>
      <c r="C436" s="3">
        <v>569.97</v>
      </c>
      <c r="D436" s="1">
        <v>640</v>
      </c>
      <c r="E436" t="s">
        <v>1696</v>
      </c>
    </row>
    <row r="437" spans="1:5" x14ac:dyDescent="0.35">
      <c r="A437" s="2" t="s">
        <v>151</v>
      </c>
      <c r="B437" s="2" t="s">
        <v>4</v>
      </c>
      <c r="C437" s="3">
        <v>2106.67</v>
      </c>
      <c r="D437" s="1">
        <v>2360</v>
      </c>
      <c r="E437" t="s">
        <v>1696</v>
      </c>
    </row>
    <row r="438" spans="1:5" x14ac:dyDescent="0.35">
      <c r="A438" s="2" t="s">
        <v>152</v>
      </c>
      <c r="B438" s="2" t="s">
        <v>374</v>
      </c>
      <c r="C438" s="3">
        <v>823.21</v>
      </c>
      <c r="D438" s="1">
        <v>930</v>
      </c>
      <c r="E438" t="s">
        <v>1697</v>
      </c>
    </row>
    <row r="439" spans="1:5" x14ac:dyDescent="0.35">
      <c r="A439" s="2" t="s">
        <v>153</v>
      </c>
      <c r="B439" s="2" t="s">
        <v>4</v>
      </c>
      <c r="C439" s="3">
        <v>3365.01</v>
      </c>
      <c r="D439" s="1">
        <v>3770</v>
      </c>
      <c r="E439" t="s">
        <v>1697</v>
      </c>
    </row>
    <row r="440" spans="1:5" x14ac:dyDescent="0.35">
      <c r="A440" s="2" t="s">
        <v>154</v>
      </c>
      <c r="B440" s="2" t="s">
        <v>4</v>
      </c>
      <c r="C440" s="3">
        <v>1704.91</v>
      </c>
      <c r="D440" s="1">
        <v>1910</v>
      </c>
      <c r="E440" t="s">
        <v>1698</v>
      </c>
    </row>
    <row r="441" spans="1:5" x14ac:dyDescent="0.35">
      <c r="A441" s="2" t="s">
        <v>604</v>
      </c>
      <c r="B441" s="2" t="s">
        <v>5</v>
      </c>
      <c r="C441" s="3">
        <v>1434.45</v>
      </c>
      <c r="D441" s="1">
        <v>1610</v>
      </c>
      <c r="E441" t="s">
        <v>1699</v>
      </c>
    </row>
    <row r="442" spans="1:5" x14ac:dyDescent="0.35">
      <c r="A442" s="2" t="s">
        <v>605</v>
      </c>
      <c r="B442" s="2" t="s">
        <v>374</v>
      </c>
      <c r="C442" s="3">
        <v>378.91</v>
      </c>
      <c r="D442" s="1">
        <v>430</v>
      </c>
      <c r="E442" t="s">
        <v>1700</v>
      </c>
    </row>
    <row r="443" spans="1:5" x14ac:dyDescent="0.35">
      <c r="A443" s="2" t="s">
        <v>155</v>
      </c>
      <c r="B443" s="2" t="s">
        <v>4</v>
      </c>
      <c r="C443" s="3">
        <v>1521.64</v>
      </c>
      <c r="D443" s="1">
        <v>1710</v>
      </c>
      <c r="E443" t="s">
        <v>1700</v>
      </c>
    </row>
    <row r="444" spans="1:5" x14ac:dyDescent="0.35">
      <c r="A444" s="2" t="s">
        <v>606</v>
      </c>
      <c r="B444" s="2" t="s">
        <v>4</v>
      </c>
      <c r="C444" s="3">
        <v>2341.5500000000002</v>
      </c>
      <c r="D444" s="1">
        <v>2630</v>
      </c>
      <c r="E444" t="s">
        <v>1701</v>
      </c>
    </row>
    <row r="445" spans="1:5" x14ac:dyDescent="0.35">
      <c r="A445" s="2" t="s">
        <v>156</v>
      </c>
      <c r="B445" s="2" t="s">
        <v>4</v>
      </c>
      <c r="C445" s="3">
        <v>2164.4699999999998</v>
      </c>
      <c r="D445" s="1">
        <v>2430</v>
      </c>
      <c r="E445" t="s">
        <v>1702</v>
      </c>
    </row>
    <row r="446" spans="1:5" x14ac:dyDescent="0.35">
      <c r="A446" s="2" t="s">
        <v>607</v>
      </c>
      <c r="B446" s="2" t="s">
        <v>5</v>
      </c>
      <c r="C446" s="3">
        <v>630.75</v>
      </c>
      <c r="D446" s="1">
        <v>710</v>
      </c>
      <c r="E446" t="s">
        <v>1703</v>
      </c>
    </row>
    <row r="447" spans="1:5" x14ac:dyDescent="0.35">
      <c r="A447" s="2" t="s">
        <v>608</v>
      </c>
      <c r="B447" s="2" t="s">
        <v>5</v>
      </c>
      <c r="C447" s="3">
        <v>666.7</v>
      </c>
      <c r="D447" s="1">
        <v>750</v>
      </c>
      <c r="E447" t="s">
        <v>1704</v>
      </c>
    </row>
    <row r="448" spans="1:5" x14ac:dyDescent="0.35">
      <c r="A448" s="2" t="s">
        <v>157</v>
      </c>
      <c r="B448" s="2" t="s">
        <v>4</v>
      </c>
      <c r="C448" s="3">
        <v>4126.25</v>
      </c>
      <c r="D448" s="1">
        <v>4630</v>
      </c>
      <c r="E448" t="s">
        <v>1705</v>
      </c>
    </row>
    <row r="449" spans="1:5" x14ac:dyDescent="0.35">
      <c r="A449" s="2" t="s">
        <v>158</v>
      </c>
      <c r="B449" s="2" t="s">
        <v>4</v>
      </c>
      <c r="C449" s="3">
        <v>1886.79</v>
      </c>
      <c r="D449" s="1">
        <v>2120</v>
      </c>
      <c r="E449" t="s">
        <v>1706</v>
      </c>
    </row>
    <row r="450" spans="1:5" x14ac:dyDescent="0.35">
      <c r="A450" s="2" t="s">
        <v>159</v>
      </c>
      <c r="B450" s="2" t="s">
        <v>4</v>
      </c>
      <c r="C450" s="3">
        <v>3672.56</v>
      </c>
      <c r="D450" s="1">
        <v>4120</v>
      </c>
      <c r="E450" t="s">
        <v>1707</v>
      </c>
    </row>
    <row r="451" spans="1:5" x14ac:dyDescent="0.35">
      <c r="A451" s="2" t="s">
        <v>160</v>
      </c>
      <c r="B451" s="2" t="s">
        <v>4</v>
      </c>
      <c r="C451" s="3">
        <v>3551.34</v>
      </c>
      <c r="D451" s="1">
        <v>3980</v>
      </c>
      <c r="E451" t="s">
        <v>1708</v>
      </c>
    </row>
    <row r="452" spans="1:5" x14ac:dyDescent="0.35">
      <c r="A452" s="2" t="s">
        <v>161</v>
      </c>
      <c r="B452" s="2" t="s">
        <v>4</v>
      </c>
      <c r="C452" s="3">
        <v>4742.88</v>
      </c>
      <c r="D452" s="1">
        <v>5320</v>
      </c>
      <c r="E452" t="s">
        <v>1709</v>
      </c>
    </row>
    <row r="453" spans="1:5" x14ac:dyDescent="0.35">
      <c r="A453" s="2" t="s">
        <v>609</v>
      </c>
      <c r="B453" s="2" t="s">
        <v>4</v>
      </c>
      <c r="C453" s="3">
        <v>5421.62</v>
      </c>
      <c r="D453" s="1">
        <v>6080</v>
      </c>
      <c r="E453" t="s">
        <v>1710</v>
      </c>
    </row>
    <row r="454" spans="1:5" x14ac:dyDescent="0.35">
      <c r="A454" s="2" t="s">
        <v>162</v>
      </c>
      <c r="B454" s="2" t="s">
        <v>4</v>
      </c>
      <c r="C454" s="3">
        <v>11256.29</v>
      </c>
      <c r="D454" s="1">
        <v>12610</v>
      </c>
      <c r="E454" t="s">
        <v>1711</v>
      </c>
    </row>
    <row r="455" spans="1:5" x14ac:dyDescent="0.35">
      <c r="A455" s="2" t="s">
        <v>610</v>
      </c>
      <c r="B455" s="2" t="s">
        <v>4</v>
      </c>
      <c r="C455" s="3">
        <v>1702.96</v>
      </c>
      <c r="D455" s="1">
        <v>1910</v>
      </c>
      <c r="E455" t="s">
        <v>1712</v>
      </c>
    </row>
    <row r="456" spans="1:5" x14ac:dyDescent="0.35">
      <c r="A456" s="2" t="s">
        <v>163</v>
      </c>
      <c r="B456" s="2" t="s">
        <v>4</v>
      </c>
      <c r="C456" s="3">
        <v>7606.68</v>
      </c>
      <c r="D456" s="1">
        <v>8520</v>
      </c>
      <c r="E456" t="s">
        <v>1713</v>
      </c>
    </row>
    <row r="457" spans="1:5" x14ac:dyDescent="0.35">
      <c r="A457" s="2" t="s">
        <v>164</v>
      </c>
      <c r="B457" s="2" t="s">
        <v>374</v>
      </c>
      <c r="C457" s="3">
        <v>995.44</v>
      </c>
      <c r="D457" s="1">
        <v>1120</v>
      </c>
      <c r="E457" t="s">
        <v>1714</v>
      </c>
    </row>
    <row r="458" spans="1:5" x14ac:dyDescent="0.35">
      <c r="A458" s="2" t="s">
        <v>165</v>
      </c>
      <c r="B458" s="2" t="s">
        <v>4</v>
      </c>
      <c r="C458" s="3">
        <v>2886.7</v>
      </c>
      <c r="D458" s="1">
        <v>3240</v>
      </c>
      <c r="E458" t="s">
        <v>1714</v>
      </c>
    </row>
    <row r="459" spans="1:5" x14ac:dyDescent="0.35">
      <c r="A459" s="2" t="s">
        <v>166</v>
      </c>
      <c r="B459" s="2" t="s">
        <v>4</v>
      </c>
      <c r="C459" s="3">
        <v>3768.89</v>
      </c>
      <c r="D459" s="1">
        <v>4230</v>
      </c>
      <c r="E459" t="s">
        <v>1715</v>
      </c>
    </row>
    <row r="460" spans="1:5" x14ac:dyDescent="0.35">
      <c r="A460" s="2" t="s">
        <v>167</v>
      </c>
      <c r="B460" s="2" t="s">
        <v>374</v>
      </c>
      <c r="C460" s="3">
        <v>273.68</v>
      </c>
      <c r="D460" s="1">
        <v>310</v>
      </c>
      <c r="E460" t="s">
        <v>1715</v>
      </c>
    </row>
    <row r="461" spans="1:5" x14ac:dyDescent="0.35">
      <c r="A461" s="2" t="s">
        <v>168</v>
      </c>
      <c r="B461" s="2" t="s">
        <v>4</v>
      </c>
      <c r="C461" s="3">
        <v>2983.41</v>
      </c>
      <c r="D461" s="1">
        <v>3350</v>
      </c>
      <c r="E461" t="s">
        <v>1715</v>
      </c>
    </row>
    <row r="462" spans="1:5" x14ac:dyDescent="0.35">
      <c r="A462" s="2" t="s">
        <v>611</v>
      </c>
      <c r="B462" s="2" t="s">
        <v>374</v>
      </c>
      <c r="C462" s="3">
        <v>550</v>
      </c>
      <c r="D462" s="1">
        <v>620</v>
      </c>
      <c r="E462" t="s">
        <v>1716</v>
      </c>
    </row>
    <row r="463" spans="1:5" x14ac:dyDescent="0.35">
      <c r="A463" s="2" t="s">
        <v>612</v>
      </c>
      <c r="B463" s="2" t="s">
        <v>4</v>
      </c>
      <c r="C463" s="3">
        <v>2381</v>
      </c>
      <c r="D463" s="1">
        <v>2670</v>
      </c>
      <c r="E463" t="s">
        <v>1716</v>
      </c>
    </row>
    <row r="464" spans="1:5" x14ac:dyDescent="0.35">
      <c r="A464" s="2" t="s">
        <v>169</v>
      </c>
      <c r="B464" s="2" t="s">
        <v>4</v>
      </c>
      <c r="C464" s="3">
        <v>14272.31</v>
      </c>
      <c r="D464" s="1">
        <v>15990</v>
      </c>
      <c r="E464" t="s">
        <v>1717</v>
      </c>
    </row>
    <row r="465" spans="1:5" x14ac:dyDescent="0.35">
      <c r="A465" s="2" t="s">
        <v>613</v>
      </c>
      <c r="B465" s="2" t="s">
        <v>4</v>
      </c>
      <c r="C465" s="3">
        <v>20504.990000000002</v>
      </c>
      <c r="D465" s="1">
        <v>22970</v>
      </c>
      <c r="E465" t="s">
        <v>1718</v>
      </c>
    </row>
    <row r="466" spans="1:5" x14ac:dyDescent="0.35">
      <c r="A466" s="2" t="s">
        <v>614</v>
      </c>
      <c r="B466" s="2" t="s">
        <v>4</v>
      </c>
      <c r="C466" s="3">
        <v>19133.189999999999</v>
      </c>
      <c r="D466" s="1">
        <v>21430</v>
      </c>
      <c r="E466" t="s">
        <v>1719</v>
      </c>
    </row>
    <row r="467" spans="1:5" x14ac:dyDescent="0.35">
      <c r="A467" s="2" t="s">
        <v>170</v>
      </c>
      <c r="B467" s="2" t="s">
        <v>4</v>
      </c>
      <c r="C467" s="3">
        <v>3510.07</v>
      </c>
      <c r="D467" s="1">
        <v>3940</v>
      </c>
      <c r="E467" t="s">
        <v>1720</v>
      </c>
    </row>
    <row r="468" spans="1:5" x14ac:dyDescent="0.35">
      <c r="A468" s="2" t="s">
        <v>615</v>
      </c>
      <c r="B468" s="2" t="s">
        <v>4</v>
      </c>
      <c r="C468" s="3">
        <v>4760.92</v>
      </c>
      <c r="D468" s="1">
        <v>5340</v>
      </c>
      <c r="E468" t="s">
        <v>1721</v>
      </c>
    </row>
    <row r="469" spans="1:5" x14ac:dyDescent="0.35">
      <c r="A469" s="2" t="s">
        <v>171</v>
      </c>
      <c r="B469" s="2" t="s">
        <v>374</v>
      </c>
      <c r="C469" s="3">
        <v>615.66999999999996</v>
      </c>
      <c r="D469" s="1">
        <v>690</v>
      </c>
      <c r="E469" t="s">
        <v>1722</v>
      </c>
    </row>
    <row r="470" spans="1:5" x14ac:dyDescent="0.35">
      <c r="A470" s="2" t="s">
        <v>172</v>
      </c>
      <c r="B470" s="2" t="s">
        <v>5</v>
      </c>
      <c r="C470" s="3">
        <v>1024.5999999999999</v>
      </c>
      <c r="D470" s="1">
        <v>1150</v>
      </c>
      <c r="E470" t="s">
        <v>1722</v>
      </c>
    </row>
    <row r="471" spans="1:5" x14ac:dyDescent="0.35">
      <c r="A471" s="2" t="s">
        <v>173</v>
      </c>
      <c r="B471" s="2" t="s">
        <v>374</v>
      </c>
      <c r="C471" s="3">
        <v>207.67</v>
      </c>
      <c r="D471" s="1">
        <v>240</v>
      </c>
      <c r="E471" t="s">
        <v>1722</v>
      </c>
    </row>
    <row r="472" spans="1:5" x14ac:dyDescent="0.35">
      <c r="A472" s="2" t="s">
        <v>174</v>
      </c>
      <c r="B472" s="2" t="s">
        <v>4</v>
      </c>
      <c r="C472" s="3">
        <v>1655.32</v>
      </c>
      <c r="D472" s="1">
        <v>1860</v>
      </c>
      <c r="E472" t="s">
        <v>1722</v>
      </c>
    </row>
    <row r="473" spans="1:5" x14ac:dyDescent="0.35">
      <c r="A473" s="2" t="s">
        <v>616</v>
      </c>
      <c r="B473" s="2" t="s">
        <v>4</v>
      </c>
      <c r="C473" s="3">
        <v>7514.06</v>
      </c>
      <c r="D473" s="1">
        <v>8420</v>
      </c>
      <c r="E473" t="s">
        <v>1723</v>
      </c>
    </row>
    <row r="474" spans="1:5" x14ac:dyDescent="0.35">
      <c r="A474" s="2" t="s">
        <v>617</v>
      </c>
      <c r="B474" s="2" t="s">
        <v>4</v>
      </c>
      <c r="C474" s="3">
        <v>1984.75</v>
      </c>
      <c r="D474" s="1">
        <v>2230</v>
      </c>
      <c r="E474" t="s">
        <v>1724</v>
      </c>
    </row>
    <row r="475" spans="1:5" x14ac:dyDescent="0.35">
      <c r="A475" s="2" t="s">
        <v>618</v>
      </c>
      <c r="B475" s="2" t="s">
        <v>4</v>
      </c>
      <c r="C475" s="3">
        <v>2007.18</v>
      </c>
      <c r="D475" s="1">
        <v>2250</v>
      </c>
      <c r="E475" t="s">
        <v>1724</v>
      </c>
    </row>
    <row r="476" spans="1:5" x14ac:dyDescent="0.35">
      <c r="A476" s="2" t="s">
        <v>175</v>
      </c>
      <c r="B476" s="2" t="s">
        <v>4</v>
      </c>
      <c r="C476" s="3">
        <v>2033.89</v>
      </c>
      <c r="D476" s="1">
        <v>2280</v>
      </c>
      <c r="E476" t="s">
        <v>1725</v>
      </c>
    </row>
    <row r="477" spans="1:5" x14ac:dyDescent="0.35">
      <c r="A477" s="2" t="s">
        <v>619</v>
      </c>
      <c r="B477" s="2" t="s">
        <v>374</v>
      </c>
      <c r="C477" s="3">
        <v>224.8</v>
      </c>
      <c r="D477" s="1">
        <v>260</v>
      </c>
      <c r="E477" t="s">
        <v>1726</v>
      </c>
    </row>
    <row r="478" spans="1:5" x14ac:dyDescent="0.35">
      <c r="A478" s="2" t="s">
        <v>620</v>
      </c>
      <c r="B478" s="2" t="s">
        <v>5</v>
      </c>
      <c r="C478" s="3">
        <v>434.46</v>
      </c>
      <c r="D478" s="1">
        <v>490</v>
      </c>
      <c r="E478" t="s">
        <v>1726</v>
      </c>
    </row>
    <row r="479" spans="1:5" x14ac:dyDescent="0.35">
      <c r="A479" s="2" t="s">
        <v>621</v>
      </c>
      <c r="B479" s="2" t="s">
        <v>4</v>
      </c>
      <c r="C479" s="3">
        <v>866.78</v>
      </c>
      <c r="D479" s="1">
        <v>980</v>
      </c>
      <c r="E479" t="s">
        <v>1726</v>
      </c>
    </row>
    <row r="480" spans="1:5" x14ac:dyDescent="0.35">
      <c r="A480" s="2" t="s">
        <v>176</v>
      </c>
      <c r="B480" s="2" t="s">
        <v>4</v>
      </c>
      <c r="C480" s="3">
        <v>3567.25</v>
      </c>
      <c r="D480" s="1">
        <v>4000</v>
      </c>
      <c r="E480" t="s">
        <v>1727</v>
      </c>
    </row>
    <row r="481" spans="1:5" x14ac:dyDescent="0.35">
      <c r="A481" s="2" t="s">
        <v>622</v>
      </c>
      <c r="B481" s="2" t="s">
        <v>4</v>
      </c>
      <c r="C481" s="3">
        <v>4116.3100000000004</v>
      </c>
      <c r="D481" s="1">
        <v>4620</v>
      </c>
      <c r="E481" t="s">
        <v>1728</v>
      </c>
    </row>
    <row r="482" spans="1:5" x14ac:dyDescent="0.35">
      <c r="A482" s="2" t="s">
        <v>623</v>
      </c>
      <c r="B482" s="2" t="s">
        <v>374</v>
      </c>
      <c r="C482" s="3">
        <v>148.85</v>
      </c>
      <c r="D482" s="1">
        <v>170</v>
      </c>
      <c r="E482" t="s">
        <v>1729</v>
      </c>
    </row>
    <row r="483" spans="1:5" x14ac:dyDescent="0.35">
      <c r="A483" s="2" t="s">
        <v>623</v>
      </c>
      <c r="B483" s="2" t="s">
        <v>5</v>
      </c>
      <c r="C483" s="3">
        <v>295.72000000000003</v>
      </c>
      <c r="D483" s="1">
        <v>340</v>
      </c>
      <c r="E483" t="s">
        <v>1729</v>
      </c>
    </row>
    <row r="484" spans="1:5" x14ac:dyDescent="0.35">
      <c r="A484" s="2" t="s">
        <v>624</v>
      </c>
      <c r="B484" s="2" t="s">
        <v>4</v>
      </c>
      <c r="C484" s="3">
        <v>9615.7199999999993</v>
      </c>
      <c r="D484" s="1">
        <v>10770</v>
      </c>
      <c r="E484" t="s">
        <v>1730</v>
      </c>
    </row>
    <row r="485" spans="1:5" x14ac:dyDescent="0.35">
      <c r="A485" s="2" t="s">
        <v>625</v>
      </c>
      <c r="B485" s="2" t="s">
        <v>4</v>
      </c>
      <c r="C485" s="3">
        <v>4323.8500000000004</v>
      </c>
      <c r="D485" s="1">
        <v>4850</v>
      </c>
      <c r="E485" t="s">
        <v>1731</v>
      </c>
    </row>
    <row r="486" spans="1:5" x14ac:dyDescent="0.35">
      <c r="A486" s="2" t="s">
        <v>177</v>
      </c>
      <c r="B486" s="2" t="s">
        <v>4</v>
      </c>
      <c r="C486" s="3">
        <v>917.37</v>
      </c>
      <c r="D486" s="1">
        <v>1030</v>
      </c>
      <c r="E486" t="s">
        <v>1732</v>
      </c>
    </row>
    <row r="487" spans="1:5" x14ac:dyDescent="0.35">
      <c r="A487" s="2" t="s">
        <v>626</v>
      </c>
      <c r="B487" s="2" t="s">
        <v>374</v>
      </c>
      <c r="C487" s="3">
        <v>224.83</v>
      </c>
      <c r="D487" s="1">
        <v>260</v>
      </c>
      <c r="E487" t="s">
        <v>1733</v>
      </c>
    </row>
    <row r="488" spans="1:5" x14ac:dyDescent="0.35">
      <c r="A488" s="2" t="s">
        <v>626</v>
      </c>
      <c r="B488" s="2" t="s">
        <v>5</v>
      </c>
      <c r="C488" s="3">
        <v>457.75</v>
      </c>
      <c r="D488" s="1">
        <v>520</v>
      </c>
      <c r="E488" t="s">
        <v>1733</v>
      </c>
    </row>
    <row r="489" spans="1:5" x14ac:dyDescent="0.35">
      <c r="A489" s="2" t="s">
        <v>626</v>
      </c>
      <c r="B489" s="2" t="s">
        <v>4</v>
      </c>
      <c r="C489" s="3">
        <v>895.07</v>
      </c>
      <c r="D489" s="1">
        <v>1010</v>
      </c>
      <c r="E489" t="s">
        <v>1733</v>
      </c>
    </row>
    <row r="490" spans="1:5" x14ac:dyDescent="0.35">
      <c r="A490" s="2" t="s">
        <v>627</v>
      </c>
      <c r="B490" s="2" t="s">
        <v>4</v>
      </c>
      <c r="C490" s="3">
        <v>1044.55</v>
      </c>
      <c r="D490" s="1">
        <v>1170</v>
      </c>
      <c r="E490" t="s">
        <v>1734</v>
      </c>
    </row>
    <row r="491" spans="1:5" x14ac:dyDescent="0.35">
      <c r="A491" s="2" t="s">
        <v>628</v>
      </c>
      <c r="B491" s="2" t="s">
        <v>374</v>
      </c>
      <c r="C491" s="3">
        <v>148.74</v>
      </c>
      <c r="D491" s="1">
        <v>170</v>
      </c>
      <c r="E491" t="s">
        <v>1735</v>
      </c>
    </row>
    <row r="492" spans="1:5" x14ac:dyDescent="0.35">
      <c r="A492" s="2" t="s">
        <v>628</v>
      </c>
      <c r="B492" s="2" t="s">
        <v>5</v>
      </c>
      <c r="C492" s="3">
        <v>295.22000000000003</v>
      </c>
      <c r="D492" s="1">
        <v>340</v>
      </c>
      <c r="E492" t="s">
        <v>1735</v>
      </c>
    </row>
    <row r="493" spans="1:5" x14ac:dyDescent="0.35">
      <c r="A493" s="2" t="s">
        <v>628</v>
      </c>
      <c r="B493" s="2" t="s">
        <v>4</v>
      </c>
      <c r="C493" s="3">
        <v>579.82000000000005</v>
      </c>
      <c r="D493" s="1">
        <v>650</v>
      </c>
      <c r="E493" t="s">
        <v>1735</v>
      </c>
    </row>
    <row r="494" spans="1:5" x14ac:dyDescent="0.35">
      <c r="A494" s="2" t="s">
        <v>629</v>
      </c>
      <c r="B494" s="2" t="s">
        <v>374</v>
      </c>
      <c r="C494" s="3">
        <v>129.99</v>
      </c>
      <c r="D494" s="1">
        <v>150</v>
      </c>
      <c r="E494" t="s">
        <v>1736</v>
      </c>
    </row>
    <row r="495" spans="1:5" x14ac:dyDescent="0.35">
      <c r="A495" s="2" t="s">
        <v>629</v>
      </c>
      <c r="B495" s="2" t="s">
        <v>5</v>
      </c>
      <c r="C495" s="3">
        <v>268.63</v>
      </c>
      <c r="D495" s="1">
        <v>310</v>
      </c>
      <c r="E495" t="s">
        <v>1736</v>
      </c>
    </row>
    <row r="496" spans="1:5" x14ac:dyDescent="0.35">
      <c r="A496" s="2" t="s">
        <v>629</v>
      </c>
      <c r="B496" s="2" t="s">
        <v>4</v>
      </c>
      <c r="C496" s="3">
        <v>516.41</v>
      </c>
      <c r="D496" s="1">
        <v>580</v>
      </c>
      <c r="E496" t="s">
        <v>1736</v>
      </c>
    </row>
    <row r="497" spans="1:5" x14ac:dyDescent="0.35">
      <c r="A497" s="2" t="s">
        <v>630</v>
      </c>
      <c r="B497" s="2" t="s">
        <v>4</v>
      </c>
      <c r="C497" s="3">
        <v>1464.64</v>
      </c>
      <c r="D497" s="1">
        <v>1650</v>
      </c>
      <c r="E497" t="s">
        <v>1737</v>
      </c>
    </row>
    <row r="498" spans="1:5" x14ac:dyDescent="0.35">
      <c r="A498" s="2" t="s">
        <v>631</v>
      </c>
      <c r="B498" s="2" t="s">
        <v>4</v>
      </c>
      <c r="C498" s="3">
        <v>1478.48</v>
      </c>
      <c r="D498" s="1">
        <v>1660</v>
      </c>
      <c r="E498" t="s">
        <v>1738</v>
      </c>
    </row>
    <row r="499" spans="1:5" x14ac:dyDescent="0.35">
      <c r="A499" s="2" t="s">
        <v>632</v>
      </c>
      <c r="B499" s="2" t="s">
        <v>4</v>
      </c>
      <c r="C499" s="3">
        <v>973.03</v>
      </c>
      <c r="D499" s="1">
        <v>1090</v>
      </c>
      <c r="E499" t="s">
        <v>1739</v>
      </c>
    </row>
    <row r="500" spans="1:5" x14ac:dyDescent="0.35">
      <c r="A500" s="2" t="s">
        <v>633</v>
      </c>
      <c r="B500" s="2" t="s">
        <v>4</v>
      </c>
      <c r="C500" s="3">
        <v>965.05</v>
      </c>
      <c r="D500" s="1">
        <v>1090</v>
      </c>
      <c r="E500" t="s">
        <v>1740</v>
      </c>
    </row>
    <row r="501" spans="1:5" x14ac:dyDescent="0.35">
      <c r="A501" s="2" t="s">
        <v>178</v>
      </c>
      <c r="B501" s="2" t="s">
        <v>4</v>
      </c>
      <c r="C501" s="3">
        <v>1323.29</v>
      </c>
      <c r="D501" s="1">
        <v>1490</v>
      </c>
      <c r="E501" t="s">
        <v>1741</v>
      </c>
    </row>
    <row r="502" spans="1:5" x14ac:dyDescent="0.35">
      <c r="A502" s="2" t="s">
        <v>634</v>
      </c>
      <c r="B502" s="2" t="s">
        <v>4</v>
      </c>
      <c r="C502" s="3">
        <v>1172.68</v>
      </c>
      <c r="D502" s="1">
        <v>1320</v>
      </c>
      <c r="E502" t="s">
        <v>1742</v>
      </c>
    </row>
    <row r="503" spans="1:5" x14ac:dyDescent="0.35">
      <c r="A503" s="2" t="s">
        <v>635</v>
      </c>
      <c r="B503" s="2" t="s">
        <v>374</v>
      </c>
      <c r="C503" s="3">
        <v>130.01</v>
      </c>
      <c r="D503" s="1">
        <v>150</v>
      </c>
      <c r="E503" t="s">
        <v>1743</v>
      </c>
    </row>
    <row r="504" spans="1:5" x14ac:dyDescent="0.35">
      <c r="A504" s="2" t="s">
        <v>635</v>
      </c>
      <c r="B504" s="2" t="s">
        <v>5</v>
      </c>
      <c r="C504" s="3">
        <v>268.33999999999997</v>
      </c>
      <c r="D504" s="1">
        <v>310</v>
      </c>
      <c r="E504" t="s">
        <v>1743</v>
      </c>
    </row>
    <row r="505" spans="1:5" x14ac:dyDescent="0.35">
      <c r="A505" s="2" t="s">
        <v>179</v>
      </c>
      <c r="B505" s="2" t="s">
        <v>4</v>
      </c>
      <c r="C505" s="3">
        <v>516.67999999999995</v>
      </c>
      <c r="D505" s="1">
        <v>580</v>
      </c>
      <c r="E505" t="s">
        <v>1743</v>
      </c>
    </row>
    <row r="506" spans="1:5" x14ac:dyDescent="0.35">
      <c r="A506" s="2" t="s">
        <v>636</v>
      </c>
      <c r="B506" s="2" t="s">
        <v>374</v>
      </c>
      <c r="C506" s="3">
        <v>120.76</v>
      </c>
      <c r="D506" s="1">
        <v>140</v>
      </c>
      <c r="E506" t="s">
        <v>1744</v>
      </c>
    </row>
    <row r="507" spans="1:5" x14ac:dyDescent="0.35">
      <c r="A507" s="2" t="s">
        <v>636</v>
      </c>
      <c r="B507" s="2" t="s">
        <v>5</v>
      </c>
      <c r="C507" s="3">
        <v>249.92</v>
      </c>
      <c r="D507" s="1">
        <v>280</v>
      </c>
      <c r="E507" t="s">
        <v>1744</v>
      </c>
    </row>
    <row r="508" spans="1:5" x14ac:dyDescent="0.35">
      <c r="A508" s="2" t="s">
        <v>636</v>
      </c>
      <c r="B508" s="2" t="s">
        <v>4</v>
      </c>
      <c r="C508" s="3">
        <v>489.83</v>
      </c>
      <c r="D508" s="1">
        <v>550</v>
      </c>
      <c r="E508" t="s">
        <v>1744</v>
      </c>
    </row>
    <row r="509" spans="1:5" x14ac:dyDescent="0.35">
      <c r="A509" s="2" t="s">
        <v>637</v>
      </c>
      <c r="B509" s="2" t="s">
        <v>374</v>
      </c>
      <c r="C509" s="3">
        <v>130.84</v>
      </c>
      <c r="D509" s="1">
        <v>150</v>
      </c>
      <c r="E509" t="s">
        <v>1745</v>
      </c>
    </row>
    <row r="510" spans="1:5" x14ac:dyDescent="0.35">
      <c r="A510" s="2" t="s">
        <v>637</v>
      </c>
      <c r="B510" s="2" t="s">
        <v>5</v>
      </c>
      <c r="C510" s="3">
        <v>269.70999999999998</v>
      </c>
      <c r="D510" s="1">
        <v>310</v>
      </c>
      <c r="E510" t="s">
        <v>1745</v>
      </c>
    </row>
    <row r="511" spans="1:5" x14ac:dyDescent="0.35">
      <c r="A511" s="2" t="s">
        <v>637</v>
      </c>
      <c r="B511" s="2" t="s">
        <v>4</v>
      </c>
      <c r="C511" s="3">
        <v>517.48</v>
      </c>
      <c r="D511" s="1">
        <v>580</v>
      </c>
      <c r="E511" t="s">
        <v>1745</v>
      </c>
    </row>
    <row r="512" spans="1:5" x14ac:dyDescent="0.35">
      <c r="A512" s="2" t="s">
        <v>638</v>
      </c>
      <c r="B512" s="2" t="s">
        <v>374</v>
      </c>
      <c r="C512" s="3">
        <v>139.63999999999999</v>
      </c>
      <c r="D512" s="1">
        <v>160</v>
      </c>
      <c r="E512" t="s">
        <v>1746</v>
      </c>
    </row>
    <row r="513" spans="1:5" x14ac:dyDescent="0.35">
      <c r="A513" s="2" t="s">
        <v>639</v>
      </c>
      <c r="B513" s="2" t="s">
        <v>5</v>
      </c>
      <c r="C513" s="3">
        <v>278.02</v>
      </c>
      <c r="D513" s="1">
        <v>320</v>
      </c>
      <c r="E513" t="s">
        <v>1746</v>
      </c>
    </row>
    <row r="514" spans="1:5" x14ac:dyDescent="0.35">
      <c r="A514" s="2" t="s">
        <v>640</v>
      </c>
      <c r="B514" s="2" t="s">
        <v>4</v>
      </c>
      <c r="C514" s="3">
        <v>535.39</v>
      </c>
      <c r="D514" s="1">
        <v>600</v>
      </c>
      <c r="E514" t="s">
        <v>1746</v>
      </c>
    </row>
    <row r="515" spans="1:5" x14ac:dyDescent="0.35">
      <c r="A515" s="2" t="s">
        <v>641</v>
      </c>
      <c r="B515" s="2" t="s">
        <v>374</v>
      </c>
      <c r="C515" s="3">
        <v>129.84</v>
      </c>
      <c r="D515" s="1">
        <v>150</v>
      </c>
      <c r="E515" t="s">
        <v>1747</v>
      </c>
    </row>
    <row r="516" spans="1:5" x14ac:dyDescent="0.35">
      <c r="A516" s="2" t="s">
        <v>180</v>
      </c>
      <c r="B516" s="2" t="s">
        <v>5</v>
      </c>
      <c r="C516" s="3">
        <v>268.20999999999998</v>
      </c>
      <c r="D516" s="1">
        <v>310</v>
      </c>
      <c r="E516" t="s">
        <v>1747</v>
      </c>
    </row>
    <row r="517" spans="1:5" x14ac:dyDescent="0.35">
      <c r="A517" s="2" t="s">
        <v>641</v>
      </c>
      <c r="B517" s="2" t="s">
        <v>4</v>
      </c>
      <c r="C517" s="3">
        <v>518.25</v>
      </c>
      <c r="D517" s="1">
        <v>590</v>
      </c>
      <c r="E517" t="s">
        <v>1747</v>
      </c>
    </row>
    <row r="518" spans="1:5" x14ac:dyDescent="0.35">
      <c r="A518" s="2" t="s">
        <v>181</v>
      </c>
      <c r="B518" s="2" t="s">
        <v>374</v>
      </c>
      <c r="C518" s="3">
        <v>122.46</v>
      </c>
      <c r="D518" s="1">
        <v>140</v>
      </c>
      <c r="E518" t="s">
        <v>1748</v>
      </c>
    </row>
    <row r="519" spans="1:5" x14ac:dyDescent="0.35">
      <c r="A519" s="2" t="s">
        <v>642</v>
      </c>
      <c r="B519" s="2" t="s">
        <v>5</v>
      </c>
      <c r="C519" s="3">
        <v>251.58</v>
      </c>
      <c r="D519" s="1">
        <v>290</v>
      </c>
      <c r="E519" t="s">
        <v>1748</v>
      </c>
    </row>
    <row r="520" spans="1:5" x14ac:dyDescent="0.35">
      <c r="A520" s="2" t="s">
        <v>642</v>
      </c>
      <c r="B520" s="2" t="s">
        <v>4</v>
      </c>
      <c r="C520" s="3">
        <v>481.81</v>
      </c>
      <c r="D520" s="1">
        <v>540</v>
      </c>
      <c r="E520" t="s">
        <v>1748</v>
      </c>
    </row>
    <row r="521" spans="1:5" x14ac:dyDescent="0.35">
      <c r="A521" s="2" t="s">
        <v>182</v>
      </c>
      <c r="B521" s="2" t="s">
        <v>4</v>
      </c>
      <c r="C521" s="3">
        <v>4392.3100000000004</v>
      </c>
      <c r="D521" s="1">
        <v>4920</v>
      </c>
      <c r="E521" t="s">
        <v>1749</v>
      </c>
    </row>
    <row r="522" spans="1:5" x14ac:dyDescent="0.35">
      <c r="A522" s="2" t="s">
        <v>183</v>
      </c>
      <c r="B522" s="2" t="s">
        <v>4</v>
      </c>
      <c r="C522" s="3">
        <v>1625.16</v>
      </c>
      <c r="D522" s="1">
        <v>1830</v>
      </c>
      <c r="E522" t="s">
        <v>1750</v>
      </c>
    </row>
    <row r="523" spans="1:5" x14ac:dyDescent="0.35">
      <c r="A523" s="2" t="s">
        <v>643</v>
      </c>
      <c r="B523" s="2" t="s">
        <v>374</v>
      </c>
      <c r="C523" s="3">
        <v>253.56</v>
      </c>
      <c r="D523" s="1">
        <v>290</v>
      </c>
      <c r="E523" t="s">
        <v>1751</v>
      </c>
    </row>
    <row r="524" spans="1:5" x14ac:dyDescent="0.35">
      <c r="A524" s="2" t="s">
        <v>644</v>
      </c>
      <c r="B524" s="2" t="s">
        <v>4</v>
      </c>
      <c r="C524" s="3">
        <v>999.83</v>
      </c>
      <c r="D524" s="1">
        <v>1120</v>
      </c>
      <c r="E524" t="s">
        <v>1751</v>
      </c>
    </row>
    <row r="525" spans="1:5" x14ac:dyDescent="0.35">
      <c r="A525" s="2" t="s">
        <v>645</v>
      </c>
      <c r="B525" s="2" t="s">
        <v>4</v>
      </c>
      <c r="C525" s="3">
        <v>546.71</v>
      </c>
      <c r="D525" s="1">
        <v>620</v>
      </c>
      <c r="E525" t="s">
        <v>1752</v>
      </c>
    </row>
    <row r="526" spans="1:5" x14ac:dyDescent="0.35">
      <c r="A526" s="2" t="s">
        <v>646</v>
      </c>
      <c r="B526" s="2" t="s">
        <v>4</v>
      </c>
      <c r="C526" s="3">
        <v>990.03</v>
      </c>
      <c r="D526" s="1">
        <v>1110</v>
      </c>
      <c r="E526" t="s">
        <v>1753</v>
      </c>
    </row>
    <row r="527" spans="1:5" x14ac:dyDescent="0.35">
      <c r="A527" s="2" t="s">
        <v>184</v>
      </c>
      <c r="B527" s="2" t="s">
        <v>4</v>
      </c>
      <c r="C527" s="3">
        <v>3126.81</v>
      </c>
      <c r="D527" s="1">
        <v>3510</v>
      </c>
      <c r="E527" t="s">
        <v>1754</v>
      </c>
    </row>
    <row r="528" spans="1:5" x14ac:dyDescent="0.35">
      <c r="A528" s="2" t="s">
        <v>647</v>
      </c>
      <c r="B528" s="2" t="s">
        <v>4</v>
      </c>
      <c r="C528" s="3">
        <v>2064.4</v>
      </c>
      <c r="D528" s="1">
        <v>2320</v>
      </c>
      <c r="E528" t="s">
        <v>1755</v>
      </c>
    </row>
    <row r="529" spans="1:5" x14ac:dyDescent="0.35">
      <c r="A529" s="2" t="s">
        <v>648</v>
      </c>
      <c r="B529" s="2" t="s">
        <v>374</v>
      </c>
      <c r="C529" s="3">
        <v>158.5</v>
      </c>
      <c r="D529" s="1">
        <v>180</v>
      </c>
      <c r="E529" t="s">
        <v>1756</v>
      </c>
    </row>
    <row r="530" spans="1:5" x14ac:dyDescent="0.35">
      <c r="A530" s="2" t="s">
        <v>649</v>
      </c>
      <c r="B530" s="2" t="s">
        <v>5</v>
      </c>
      <c r="C530" s="3">
        <v>305.2</v>
      </c>
      <c r="D530" s="1">
        <v>350</v>
      </c>
      <c r="E530" t="s">
        <v>1756</v>
      </c>
    </row>
    <row r="531" spans="1:5" x14ac:dyDescent="0.35">
      <c r="A531" s="2" t="s">
        <v>648</v>
      </c>
      <c r="B531" s="2" t="s">
        <v>4</v>
      </c>
      <c r="C531" s="3">
        <v>600.4</v>
      </c>
      <c r="D531" s="1">
        <v>680</v>
      </c>
      <c r="E531" t="s">
        <v>1756</v>
      </c>
    </row>
    <row r="532" spans="1:5" x14ac:dyDescent="0.35">
      <c r="A532" s="2" t="s">
        <v>650</v>
      </c>
      <c r="B532" s="2" t="s">
        <v>374</v>
      </c>
      <c r="C532" s="3">
        <v>129.84</v>
      </c>
      <c r="D532" s="1">
        <v>150</v>
      </c>
      <c r="E532" t="s">
        <v>1757</v>
      </c>
    </row>
    <row r="533" spans="1:5" x14ac:dyDescent="0.35">
      <c r="A533" s="2" t="s">
        <v>650</v>
      </c>
      <c r="B533" s="2" t="s">
        <v>5</v>
      </c>
      <c r="C533" s="3">
        <v>268</v>
      </c>
      <c r="D533" s="1">
        <v>310</v>
      </c>
      <c r="E533" t="s">
        <v>1757</v>
      </c>
    </row>
    <row r="534" spans="1:5" x14ac:dyDescent="0.35">
      <c r="A534" s="2" t="s">
        <v>650</v>
      </c>
      <c r="B534" s="2" t="s">
        <v>4</v>
      </c>
      <c r="C534" s="3">
        <v>520.95000000000005</v>
      </c>
      <c r="D534" s="1">
        <v>590</v>
      </c>
      <c r="E534" t="s">
        <v>1757</v>
      </c>
    </row>
    <row r="535" spans="1:5" x14ac:dyDescent="0.35">
      <c r="A535" s="2" t="s">
        <v>185</v>
      </c>
      <c r="B535" s="2" t="s">
        <v>374</v>
      </c>
      <c r="C535" s="3">
        <v>129.76</v>
      </c>
      <c r="D535" s="1">
        <v>150</v>
      </c>
      <c r="E535" t="s">
        <v>1758</v>
      </c>
    </row>
    <row r="536" spans="1:5" x14ac:dyDescent="0.35">
      <c r="A536" s="2" t="s">
        <v>186</v>
      </c>
      <c r="B536" s="2" t="s">
        <v>5</v>
      </c>
      <c r="C536" s="3">
        <v>267.74</v>
      </c>
      <c r="D536" s="1">
        <v>300</v>
      </c>
      <c r="E536" t="s">
        <v>1758</v>
      </c>
    </row>
    <row r="537" spans="1:5" x14ac:dyDescent="0.35">
      <c r="A537" s="2" t="s">
        <v>187</v>
      </c>
      <c r="B537" s="2" t="s">
        <v>4</v>
      </c>
      <c r="C537" s="3">
        <v>525.23</v>
      </c>
      <c r="D537" s="1">
        <v>590</v>
      </c>
      <c r="E537" t="s">
        <v>1758</v>
      </c>
    </row>
    <row r="538" spans="1:5" x14ac:dyDescent="0.35">
      <c r="A538" s="2" t="s">
        <v>651</v>
      </c>
      <c r="B538" s="2" t="s">
        <v>374</v>
      </c>
      <c r="C538" s="3">
        <v>186.41</v>
      </c>
      <c r="D538" s="1">
        <v>210</v>
      </c>
      <c r="E538" t="s">
        <v>1759</v>
      </c>
    </row>
    <row r="539" spans="1:5" x14ac:dyDescent="0.35">
      <c r="A539" s="2" t="s">
        <v>652</v>
      </c>
      <c r="B539" s="2" t="s">
        <v>4</v>
      </c>
      <c r="C539" s="3">
        <v>732</v>
      </c>
      <c r="D539" s="1">
        <v>820</v>
      </c>
      <c r="E539" t="s">
        <v>1759</v>
      </c>
    </row>
    <row r="540" spans="1:5" x14ac:dyDescent="0.35">
      <c r="A540" s="2" t="s">
        <v>653</v>
      </c>
      <c r="B540" s="2" t="s">
        <v>374</v>
      </c>
      <c r="C540" s="3">
        <v>162.41</v>
      </c>
      <c r="D540" s="1">
        <v>190</v>
      </c>
      <c r="E540" t="s">
        <v>1760</v>
      </c>
    </row>
    <row r="541" spans="1:5" x14ac:dyDescent="0.35">
      <c r="A541" s="2" t="s">
        <v>654</v>
      </c>
      <c r="B541" s="2" t="s">
        <v>4</v>
      </c>
      <c r="C541" s="3">
        <v>654.57000000000005</v>
      </c>
      <c r="D541" s="1">
        <v>740</v>
      </c>
      <c r="E541" t="s">
        <v>1760</v>
      </c>
    </row>
    <row r="542" spans="1:5" x14ac:dyDescent="0.35">
      <c r="A542" s="2" t="s">
        <v>188</v>
      </c>
      <c r="B542" s="2" t="s">
        <v>374</v>
      </c>
      <c r="C542" s="3">
        <v>168.11</v>
      </c>
      <c r="D542" s="1">
        <v>190</v>
      </c>
      <c r="E542" t="s">
        <v>1761</v>
      </c>
    </row>
    <row r="543" spans="1:5" x14ac:dyDescent="0.35">
      <c r="A543" s="2" t="s">
        <v>189</v>
      </c>
      <c r="B543" s="2" t="s">
        <v>4</v>
      </c>
      <c r="C543" s="3">
        <v>636.17999999999995</v>
      </c>
      <c r="D543" s="1">
        <v>720</v>
      </c>
      <c r="E543" t="s">
        <v>1761</v>
      </c>
    </row>
    <row r="544" spans="1:5" x14ac:dyDescent="0.35">
      <c r="A544" s="2" t="s">
        <v>190</v>
      </c>
      <c r="B544" s="2" t="s">
        <v>374</v>
      </c>
      <c r="C544" s="3">
        <v>178.82</v>
      </c>
      <c r="D544" s="1">
        <v>210</v>
      </c>
      <c r="E544" t="s">
        <v>1762</v>
      </c>
    </row>
    <row r="545" spans="1:5" x14ac:dyDescent="0.35">
      <c r="A545" s="2" t="s">
        <v>655</v>
      </c>
      <c r="B545" s="2" t="s">
        <v>4</v>
      </c>
      <c r="C545" s="3">
        <v>687.33</v>
      </c>
      <c r="D545" s="1">
        <v>770</v>
      </c>
      <c r="E545" t="s">
        <v>1762</v>
      </c>
    </row>
    <row r="546" spans="1:5" x14ac:dyDescent="0.35">
      <c r="A546" s="2" t="s">
        <v>656</v>
      </c>
      <c r="B546" s="2" t="s">
        <v>374</v>
      </c>
      <c r="C546" s="3">
        <v>215.17</v>
      </c>
      <c r="D546" s="1">
        <v>250</v>
      </c>
      <c r="E546" t="s">
        <v>1763</v>
      </c>
    </row>
    <row r="547" spans="1:5" x14ac:dyDescent="0.35">
      <c r="A547" s="2" t="s">
        <v>657</v>
      </c>
      <c r="B547" s="2" t="s">
        <v>4</v>
      </c>
      <c r="C547" s="3">
        <v>828.62</v>
      </c>
      <c r="D547" s="1">
        <v>930</v>
      </c>
      <c r="E547" t="s">
        <v>1763</v>
      </c>
    </row>
    <row r="548" spans="1:5" x14ac:dyDescent="0.35">
      <c r="A548" s="2" t="s">
        <v>191</v>
      </c>
      <c r="B548" s="2" t="s">
        <v>5</v>
      </c>
      <c r="C548" s="3">
        <v>4927.8999999999996</v>
      </c>
      <c r="D548" s="1">
        <v>5520</v>
      </c>
      <c r="E548" t="s">
        <v>1764</v>
      </c>
    </row>
    <row r="549" spans="1:5" x14ac:dyDescent="0.35">
      <c r="A549" s="2" t="s">
        <v>658</v>
      </c>
      <c r="B549" s="2" t="s">
        <v>374</v>
      </c>
      <c r="C549" s="3">
        <v>158.28</v>
      </c>
      <c r="D549" s="1">
        <v>180</v>
      </c>
      <c r="E549" t="s">
        <v>1765</v>
      </c>
    </row>
    <row r="550" spans="1:5" x14ac:dyDescent="0.35">
      <c r="A550" s="2" t="s">
        <v>658</v>
      </c>
      <c r="B550" s="2" t="s">
        <v>5</v>
      </c>
      <c r="C550" s="3">
        <v>314.74</v>
      </c>
      <c r="D550" s="1">
        <v>360</v>
      </c>
      <c r="E550" t="s">
        <v>1765</v>
      </c>
    </row>
    <row r="551" spans="1:5" x14ac:dyDescent="0.35">
      <c r="A551" s="2" t="s">
        <v>658</v>
      </c>
      <c r="B551" s="2" t="s">
        <v>4</v>
      </c>
      <c r="C551" s="3">
        <v>619.48</v>
      </c>
      <c r="D551" s="1">
        <v>700</v>
      </c>
      <c r="E551" t="s">
        <v>1765</v>
      </c>
    </row>
    <row r="552" spans="1:5" x14ac:dyDescent="0.35">
      <c r="A552" s="2" t="s">
        <v>192</v>
      </c>
      <c r="B552" s="2" t="s">
        <v>374</v>
      </c>
      <c r="C552" s="3">
        <v>168.19</v>
      </c>
      <c r="D552" s="1">
        <v>190</v>
      </c>
      <c r="E552" t="s">
        <v>1766</v>
      </c>
    </row>
    <row r="553" spans="1:5" x14ac:dyDescent="0.35">
      <c r="A553" s="2" t="s">
        <v>193</v>
      </c>
      <c r="B553" s="2" t="s">
        <v>5</v>
      </c>
      <c r="C553" s="3">
        <v>324.87</v>
      </c>
      <c r="D553" s="1">
        <v>370</v>
      </c>
      <c r="E553" t="s">
        <v>1766</v>
      </c>
    </row>
    <row r="554" spans="1:5" x14ac:dyDescent="0.35">
      <c r="A554" s="2" t="s">
        <v>194</v>
      </c>
      <c r="B554" s="2" t="s">
        <v>4</v>
      </c>
      <c r="C554" s="3">
        <v>628.32000000000005</v>
      </c>
      <c r="D554" s="1">
        <v>710</v>
      </c>
      <c r="E554" t="s">
        <v>1766</v>
      </c>
    </row>
    <row r="555" spans="1:5" x14ac:dyDescent="0.35">
      <c r="A555" s="2" t="s">
        <v>195</v>
      </c>
      <c r="B555" s="2" t="s">
        <v>374</v>
      </c>
      <c r="C555" s="3">
        <v>177.66</v>
      </c>
      <c r="D555" s="1">
        <v>200</v>
      </c>
      <c r="E555" t="s">
        <v>1767</v>
      </c>
    </row>
    <row r="556" spans="1:5" x14ac:dyDescent="0.35">
      <c r="A556" s="2" t="s">
        <v>196</v>
      </c>
      <c r="B556" s="2" t="s">
        <v>5</v>
      </c>
      <c r="C556" s="3">
        <v>343.57</v>
      </c>
      <c r="D556" s="1">
        <v>390</v>
      </c>
      <c r="E556" t="s">
        <v>1767</v>
      </c>
    </row>
    <row r="557" spans="1:5" x14ac:dyDescent="0.35">
      <c r="A557" s="2" t="s">
        <v>197</v>
      </c>
      <c r="B557" s="2" t="s">
        <v>4</v>
      </c>
      <c r="C557" s="3">
        <v>666.82</v>
      </c>
      <c r="D557" s="1">
        <v>750</v>
      </c>
      <c r="E557" t="s">
        <v>1767</v>
      </c>
    </row>
    <row r="558" spans="1:5" x14ac:dyDescent="0.35">
      <c r="A558" s="2" t="s">
        <v>198</v>
      </c>
      <c r="B558" s="2" t="s">
        <v>374</v>
      </c>
      <c r="C558" s="3">
        <v>129.97999999999999</v>
      </c>
      <c r="D558" s="1">
        <v>150</v>
      </c>
      <c r="E558" t="s">
        <v>1768</v>
      </c>
    </row>
    <row r="559" spans="1:5" x14ac:dyDescent="0.35">
      <c r="A559" s="2" t="s">
        <v>199</v>
      </c>
      <c r="B559" s="2" t="s">
        <v>5</v>
      </c>
      <c r="C559" s="3">
        <v>268.27</v>
      </c>
      <c r="D559" s="1">
        <v>310</v>
      </c>
      <c r="E559" t="s">
        <v>1768</v>
      </c>
    </row>
    <row r="560" spans="1:5" x14ac:dyDescent="0.35">
      <c r="A560" s="2" t="s">
        <v>200</v>
      </c>
      <c r="B560" s="2" t="s">
        <v>4</v>
      </c>
      <c r="C560" s="3">
        <v>516.42999999999995</v>
      </c>
      <c r="D560" s="1">
        <v>580</v>
      </c>
      <c r="E560" t="s">
        <v>1768</v>
      </c>
    </row>
    <row r="561" spans="1:5" x14ac:dyDescent="0.35">
      <c r="A561" s="2" t="s">
        <v>201</v>
      </c>
      <c r="B561" s="2" t="s">
        <v>374</v>
      </c>
      <c r="C561" s="3">
        <v>148.80000000000001</v>
      </c>
      <c r="D561" s="1">
        <v>170</v>
      </c>
      <c r="E561" t="s">
        <v>1769</v>
      </c>
    </row>
    <row r="562" spans="1:5" x14ac:dyDescent="0.35">
      <c r="A562" s="2" t="s">
        <v>202</v>
      </c>
      <c r="B562" s="2" t="s">
        <v>5</v>
      </c>
      <c r="C562" s="3">
        <v>295.87</v>
      </c>
      <c r="D562" s="1">
        <v>340</v>
      </c>
      <c r="E562" t="s">
        <v>1769</v>
      </c>
    </row>
    <row r="563" spans="1:5" x14ac:dyDescent="0.35">
      <c r="A563" s="2" t="s">
        <v>203</v>
      </c>
      <c r="B563" s="2" t="s">
        <v>4</v>
      </c>
      <c r="C563" s="3">
        <v>582.09</v>
      </c>
      <c r="D563" s="1">
        <v>660</v>
      </c>
      <c r="E563" t="s">
        <v>1769</v>
      </c>
    </row>
    <row r="564" spans="1:5" x14ac:dyDescent="0.35">
      <c r="A564" s="2" t="s">
        <v>204</v>
      </c>
      <c r="B564" s="2" t="s">
        <v>4</v>
      </c>
      <c r="C564" s="3">
        <v>6227</v>
      </c>
      <c r="D564" s="1">
        <v>6980</v>
      </c>
      <c r="E564" t="s">
        <v>1770</v>
      </c>
    </row>
    <row r="565" spans="1:5" x14ac:dyDescent="0.35">
      <c r="A565" s="2" t="s">
        <v>205</v>
      </c>
      <c r="B565" s="2" t="s">
        <v>4</v>
      </c>
      <c r="C565" s="3">
        <v>9477</v>
      </c>
      <c r="D565" s="1">
        <v>10620</v>
      </c>
      <c r="E565" t="s">
        <v>1771</v>
      </c>
    </row>
    <row r="566" spans="1:5" x14ac:dyDescent="0.35">
      <c r="A566" s="2" t="s">
        <v>659</v>
      </c>
      <c r="B566" s="2" t="s">
        <v>4</v>
      </c>
      <c r="C566" s="3">
        <v>10098.89</v>
      </c>
      <c r="D566" s="1">
        <v>11320</v>
      </c>
      <c r="E566" t="s">
        <v>1772</v>
      </c>
    </row>
    <row r="567" spans="1:5" x14ac:dyDescent="0.35">
      <c r="A567" s="2" t="s">
        <v>206</v>
      </c>
      <c r="B567" s="2" t="s">
        <v>5</v>
      </c>
      <c r="C567" s="3">
        <v>3328.11</v>
      </c>
      <c r="D567" s="1">
        <v>3730</v>
      </c>
      <c r="E567" t="s">
        <v>1773</v>
      </c>
    </row>
    <row r="568" spans="1:5" x14ac:dyDescent="0.35">
      <c r="A568" s="2" t="s">
        <v>207</v>
      </c>
      <c r="B568" s="2" t="s">
        <v>4</v>
      </c>
      <c r="C568" s="3">
        <v>3180.38</v>
      </c>
      <c r="D568" s="1">
        <v>3570</v>
      </c>
      <c r="E568" t="s">
        <v>1774</v>
      </c>
    </row>
    <row r="569" spans="1:5" x14ac:dyDescent="0.35">
      <c r="A569" s="2" t="s">
        <v>660</v>
      </c>
      <c r="B569" s="2" t="s">
        <v>4</v>
      </c>
      <c r="C569" s="3">
        <v>1297.23</v>
      </c>
      <c r="D569" s="1">
        <v>1460</v>
      </c>
      <c r="E569" t="s">
        <v>1775</v>
      </c>
    </row>
    <row r="570" spans="1:5" x14ac:dyDescent="0.35">
      <c r="A570" s="2" t="s">
        <v>661</v>
      </c>
      <c r="B570" s="2" t="s">
        <v>374</v>
      </c>
      <c r="C570" s="3">
        <v>178</v>
      </c>
      <c r="D570" s="1">
        <v>200</v>
      </c>
      <c r="E570" t="s">
        <v>1776</v>
      </c>
    </row>
    <row r="571" spans="1:5" x14ac:dyDescent="0.35">
      <c r="A571" s="2" t="s">
        <v>662</v>
      </c>
      <c r="B571" s="2" t="s">
        <v>5</v>
      </c>
      <c r="C571" s="3">
        <v>204.04</v>
      </c>
      <c r="D571" s="1">
        <v>230</v>
      </c>
      <c r="E571" t="s">
        <v>1777</v>
      </c>
    </row>
    <row r="572" spans="1:5" x14ac:dyDescent="0.35">
      <c r="A572" s="2" t="s">
        <v>662</v>
      </c>
      <c r="B572" s="2" t="s">
        <v>4</v>
      </c>
      <c r="C572" s="3">
        <v>388.07</v>
      </c>
      <c r="D572" s="1">
        <v>440</v>
      </c>
      <c r="E572" t="s">
        <v>1777</v>
      </c>
    </row>
    <row r="573" spans="1:5" x14ac:dyDescent="0.35">
      <c r="A573" s="2" t="s">
        <v>663</v>
      </c>
      <c r="B573" s="2" t="s">
        <v>374</v>
      </c>
      <c r="C573" s="3">
        <v>102.77</v>
      </c>
      <c r="D573" s="1">
        <v>120</v>
      </c>
      <c r="E573" t="s">
        <v>1778</v>
      </c>
    </row>
    <row r="574" spans="1:5" x14ac:dyDescent="0.35">
      <c r="A574" s="2" t="s">
        <v>664</v>
      </c>
      <c r="B574" s="2" t="s">
        <v>374</v>
      </c>
      <c r="C574" s="3">
        <v>244.74</v>
      </c>
      <c r="D574" s="1">
        <v>280</v>
      </c>
      <c r="E574" t="s">
        <v>1779</v>
      </c>
    </row>
    <row r="575" spans="1:5" x14ac:dyDescent="0.35">
      <c r="A575" s="2" t="s">
        <v>665</v>
      </c>
      <c r="B575" s="2" t="s">
        <v>4</v>
      </c>
      <c r="C575" s="3">
        <v>991.9</v>
      </c>
      <c r="D575" s="1">
        <v>1120</v>
      </c>
      <c r="E575" t="s">
        <v>1779</v>
      </c>
    </row>
    <row r="576" spans="1:5" x14ac:dyDescent="0.35">
      <c r="A576" s="2" t="s">
        <v>666</v>
      </c>
      <c r="B576" s="2" t="s">
        <v>374</v>
      </c>
      <c r="C576" s="3">
        <v>272.55</v>
      </c>
      <c r="D576" s="1">
        <v>310</v>
      </c>
      <c r="E576" t="s">
        <v>1780</v>
      </c>
    </row>
    <row r="577" spans="1:5" x14ac:dyDescent="0.35">
      <c r="A577" s="2" t="s">
        <v>666</v>
      </c>
      <c r="B577" s="2" t="s">
        <v>5</v>
      </c>
      <c r="C577" s="3">
        <v>542.92999999999995</v>
      </c>
      <c r="D577" s="1">
        <v>610</v>
      </c>
      <c r="E577" t="s">
        <v>1780</v>
      </c>
    </row>
    <row r="578" spans="1:5" x14ac:dyDescent="0.35">
      <c r="A578" s="2" t="s">
        <v>666</v>
      </c>
      <c r="B578" s="2" t="s">
        <v>4</v>
      </c>
      <c r="C578" s="3">
        <v>1075.5999999999999</v>
      </c>
      <c r="D578" s="1">
        <v>1210</v>
      </c>
      <c r="E578" t="s">
        <v>1780</v>
      </c>
    </row>
    <row r="579" spans="1:5" x14ac:dyDescent="0.35">
      <c r="A579" s="2" t="s">
        <v>667</v>
      </c>
      <c r="B579" s="2" t="s">
        <v>374</v>
      </c>
      <c r="C579" s="3">
        <v>197.95</v>
      </c>
      <c r="D579" s="1">
        <v>230</v>
      </c>
      <c r="E579" t="s">
        <v>1781</v>
      </c>
    </row>
    <row r="580" spans="1:5" x14ac:dyDescent="0.35">
      <c r="A580" s="2" t="s">
        <v>668</v>
      </c>
      <c r="B580" s="2" t="s">
        <v>5</v>
      </c>
      <c r="C580" s="3">
        <v>400.34</v>
      </c>
      <c r="D580" s="1">
        <v>450</v>
      </c>
      <c r="E580" t="s">
        <v>1781</v>
      </c>
    </row>
    <row r="581" spans="1:5" x14ac:dyDescent="0.35">
      <c r="A581" s="2" t="s">
        <v>667</v>
      </c>
      <c r="B581" s="2" t="s">
        <v>4</v>
      </c>
      <c r="C581" s="3">
        <v>770.52</v>
      </c>
      <c r="D581" s="1">
        <v>870</v>
      </c>
      <c r="E581" t="s">
        <v>1781</v>
      </c>
    </row>
    <row r="582" spans="1:5" x14ac:dyDescent="0.35">
      <c r="A582" s="2" t="s">
        <v>208</v>
      </c>
      <c r="B582" s="2" t="s">
        <v>374</v>
      </c>
      <c r="C582" s="3">
        <v>186.95</v>
      </c>
      <c r="D582" s="1">
        <v>210</v>
      </c>
      <c r="E582" t="s">
        <v>1782</v>
      </c>
    </row>
    <row r="583" spans="1:5" x14ac:dyDescent="0.35">
      <c r="A583" s="2" t="s">
        <v>669</v>
      </c>
      <c r="B583" s="2" t="s">
        <v>374</v>
      </c>
      <c r="C583" s="3">
        <v>139.61000000000001</v>
      </c>
      <c r="D583" s="1">
        <v>160</v>
      </c>
      <c r="E583" t="s">
        <v>1783</v>
      </c>
    </row>
    <row r="584" spans="1:5" x14ac:dyDescent="0.35">
      <c r="A584" s="2" t="s">
        <v>670</v>
      </c>
      <c r="B584" s="2" t="s">
        <v>5</v>
      </c>
      <c r="C584" s="3">
        <v>277.51</v>
      </c>
      <c r="D584" s="1">
        <v>320</v>
      </c>
      <c r="E584" t="s">
        <v>1783</v>
      </c>
    </row>
    <row r="585" spans="1:5" x14ac:dyDescent="0.35">
      <c r="A585" s="2" t="s">
        <v>671</v>
      </c>
      <c r="B585" s="2" t="s">
        <v>374</v>
      </c>
      <c r="C585" s="3">
        <v>129.85</v>
      </c>
      <c r="D585" s="1">
        <v>150</v>
      </c>
      <c r="E585" t="s">
        <v>1784</v>
      </c>
    </row>
    <row r="586" spans="1:5" x14ac:dyDescent="0.35">
      <c r="A586" s="2" t="s">
        <v>672</v>
      </c>
      <c r="B586" s="2" t="s">
        <v>5</v>
      </c>
      <c r="C586" s="3">
        <v>267.98</v>
      </c>
      <c r="D586" s="1">
        <v>310</v>
      </c>
      <c r="E586" t="s">
        <v>1784</v>
      </c>
    </row>
    <row r="587" spans="1:5" x14ac:dyDescent="0.35">
      <c r="A587" s="2" t="s">
        <v>209</v>
      </c>
      <c r="B587" s="2" t="s">
        <v>4</v>
      </c>
      <c r="C587" s="3">
        <v>525.99</v>
      </c>
      <c r="D587" s="1">
        <v>590</v>
      </c>
      <c r="E587" t="s">
        <v>1784</v>
      </c>
    </row>
    <row r="588" spans="1:5" x14ac:dyDescent="0.35">
      <c r="A588" s="2" t="s">
        <v>210</v>
      </c>
      <c r="B588" s="2" t="s">
        <v>4</v>
      </c>
      <c r="C588" s="3">
        <v>3721.66</v>
      </c>
      <c r="D588" s="1">
        <v>4170</v>
      </c>
      <c r="E588" t="s">
        <v>1785</v>
      </c>
    </row>
    <row r="589" spans="1:5" x14ac:dyDescent="0.35">
      <c r="A589" s="2" t="s">
        <v>673</v>
      </c>
      <c r="B589" s="2" t="s">
        <v>374</v>
      </c>
      <c r="C589" s="3">
        <v>205.15</v>
      </c>
      <c r="D589" s="1">
        <v>230</v>
      </c>
      <c r="E589" t="s">
        <v>1786</v>
      </c>
    </row>
    <row r="590" spans="1:5" x14ac:dyDescent="0.35">
      <c r="A590" s="2" t="s">
        <v>673</v>
      </c>
      <c r="B590" s="2" t="s">
        <v>5</v>
      </c>
      <c r="C590" s="3">
        <v>386.72</v>
      </c>
      <c r="D590" s="1">
        <v>440</v>
      </c>
      <c r="E590" t="s">
        <v>1786</v>
      </c>
    </row>
    <row r="591" spans="1:5" x14ac:dyDescent="0.35">
      <c r="A591" s="2" t="s">
        <v>673</v>
      </c>
      <c r="B591" s="2" t="s">
        <v>4</v>
      </c>
      <c r="C591" s="3">
        <v>773.45</v>
      </c>
      <c r="D591" s="1">
        <v>870</v>
      </c>
      <c r="E591" t="s">
        <v>1786</v>
      </c>
    </row>
    <row r="592" spans="1:5" x14ac:dyDescent="0.35">
      <c r="A592" s="2" t="s">
        <v>674</v>
      </c>
      <c r="B592" s="2" t="s">
        <v>4</v>
      </c>
      <c r="C592" s="3">
        <v>2429.1</v>
      </c>
      <c r="D592" s="1">
        <v>2730</v>
      </c>
      <c r="E592" t="s">
        <v>1787</v>
      </c>
    </row>
    <row r="593" spans="1:5" x14ac:dyDescent="0.35">
      <c r="A593" s="2" t="s">
        <v>675</v>
      </c>
      <c r="B593" s="2" t="s">
        <v>4</v>
      </c>
      <c r="C593" s="3">
        <v>1804.2</v>
      </c>
      <c r="D593" s="1">
        <v>2030</v>
      </c>
      <c r="E593" t="s">
        <v>1788</v>
      </c>
    </row>
    <row r="594" spans="1:5" x14ac:dyDescent="0.35">
      <c r="A594" s="2" t="s">
        <v>676</v>
      </c>
      <c r="B594" s="2" t="s">
        <v>4</v>
      </c>
      <c r="C594" s="3">
        <v>636.19000000000005</v>
      </c>
      <c r="D594" s="1">
        <v>720</v>
      </c>
      <c r="E594" t="s">
        <v>1789</v>
      </c>
    </row>
    <row r="595" spans="1:5" x14ac:dyDescent="0.35">
      <c r="A595" s="2" t="s">
        <v>677</v>
      </c>
      <c r="B595" s="2" t="s">
        <v>4</v>
      </c>
      <c r="C595" s="3">
        <v>827.99</v>
      </c>
      <c r="D595" s="1">
        <v>930</v>
      </c>
      <c r="E595" t="s">
        <v>1790</v>
      </c>
    </row>
    <row r="596" spans="1:5" x14ac:dyDescent="0.35">
      <c r="A596" s="2" t="s">
        <v>211</v>
      </c>
      <c r="B596" s="2" t="s">
        <v>4</v>
      </c>
      <c r="C596" s="3">
        <v>862.94</v>
      </c>
      <c r="D596" s="1">
        <v>970</v>
      </c>
      <c r="E596" t="s">
        <v>1791</v>
      </c>
    </row>
    <row r="597" spans="1:5" x14ac:dyDescent="0.35">
      <c r="A597" s="2" t="s">
        <v>212</v>
      </c>
      <c r="B597" s="2" t="s">
        <v>374</v>
      </c>
      <c r="C597" s="3">
        <v>140.11000000000001</v>
      </c>
      <c r="D597" s="1">
        <v>160</v>
      </c>
      <c r="E597" t="s">
        <v>1792</v>
      </c>
    </row>
    <row r="598" spans="1:5" x14ac:dyDescent="0.35">
      <c r="A598" s="2" t="s">
        <v>678</v>
      </c>
      <c r="B598" s="2" t="s">
        <v>374</v>
      </c>
      <c r="C598" s="3">
        <v>196.15</v>
      </c>
      <c r="D598" s="1">
        <v>220</v>
      </c>
      <c r="E598" t="s">
        <v>1793</v>
      </c>
    </row>
    <row r="599" spans="1:5" x14ac:dyDescent="0.35">
      <c r="A599" s="2" t="s">
        <v>679</v>
      </c>
      <c r="B599" s="2" t="s">
        <v>5</v>
      </c>
      <c r="C599" s="3">
        <v>400.49</v>
      </c>
      <c r="D599" s="1">
        <v>450</v>
      </c>
      <c r="E599" t="s">
        <v>1793</v>
      </c>
    </row>
    <row r="600" spans="1:5" x14ac:dyDescent="0.35">
      <c r="A600" s="2" t="s">
        <v>680</v>
      </c>
      <c r="B600" s="2" t="s">
        <v>4</v>
      </c>
      <c r="C600" s="3">
        <v>780.98</v>
      </c>
      <c r="D600" s="1">
        <v>880</v>
      </c>
      <c r="E600" t="s">
        <v>1793</v>
      </c>
    </row>
    <row r="601" spans="1:5" x14ac:dyDescent="0.35">
      <c r="A601" s="2" t="s">
        <v>213</v>
      </c>
      <c r="B601" s="2" t="s">
        <v>376</v>
      </c>
      <c r="C601" s="3">
        <v>97.98</v>
      </c>
      <c r="D601" s="1">
        <v>110</v>
      </c>
      <c r="E601" t="s">
        <v>1793</v>
      </c>
    </row>
    <row r="602" spans="1:5" x14ac:dyDescent="0.35">
      <c r="A602" s="2" t="s">
        <v>214</v>
      </c>
      <c r="B602" s="2" t="s">
        <v>374</v>
      </c>
      <c r="C602" s="3">
        <v>215.72</v>
      </c>
      <c r="D602" s="1">
        <v>250</v>
      </c>
      <c r="E602" t="s">
        <v>1794</v>
      </c>
    </row>
    <row r="603" spans="1:5" x14ac:dyDescent="0.35">
      <c r="A603" s="2" t="s">
        <v>215</v>
      </c>
      <c r="B603" s="2" t="s">
        <v>5</v>
      </c>
      <c r="C603" s="3">
        <v>419.41</v>
      </c>
      <c r="D603" s="1">
        <v>470</v>
      </c>
      <c r="E603" t="s">
        <v>1794</v>
      </c>
    </row>
    <row r="604" spans="1:5" x14ac:dyDescent="0.35">
      <c r="A604" s="2" t="s">
        <v>216</v>
      </c>
      <c r="B604" s="2" t="s">
        <v>4</v>
      </c>
      <c r="C604" s="3">
        <v>828.82</v>
      </c>
      <c r="D604" s="1">
        <v>930</v>
      </c>
      <c r="E604" t="s">
        <v>1794</v>
      </c>
    </row>
    <row r="605" spans="1:5" x14ac:dyDescent="0.35">
      <c r="A605" s="2" t="s">
        <v>681</v>
      </c>
      <c r="B605" s="2" t="s">
        <v>374</v>
      </c>
      <c r="C605" s="3">
        <v>158.4</v>
      </c>
      <c r="D605" s="1">
        <v>180</v>
      </c>
      <c r="E605" t="s">
        <v>1795</v>
      </c>
    </row>
    <row r="606" spans="1:5" x14ac:dyDescent="0.35">
      <c r="A606" s="2" t="s">
        <v>217</v>
      </c>
      <c r="B606" s="2" t="s">
        <v>5</v>
      </c>
      <c r="C606" s="3">
        <v>315.01</v>
      </c>
      <c r="D606" s="1">
        <v>360</v>
      </c>
      <c r="E606" t="s">
        <v>1795</v>
      </c>
    </row>
    <row r="607" spans="1:5" x14ac:dyDescent="0.35">
      <c r="A607" s="2" t="s">
        <v>218</v>
      </c>
      <c r="B607" s="2" t="s">
        <v>4</v>
      </c>
      <c r="C607" s="3">
        <v>610.02</v>
      </c>
      <c r="D607" s="1">
        <v>690</v>
      </c>
      <c r="E607" t="s">
        <v>1795</v>
      </c>
    </row>
    <row r="608" spans="1:5" x14ac:dyDescent="0.35">
      <c r="A608" s="2" t="s">
        <v>219</v>
      </c>
      <c r="B608" s="2" t="s">
        <v>4</v>
      </c>
      <c r="C608" s="3">
        <v>836.23</v>
      </c>
      <c r="D608" s="1">
        <v>940</v>
      </c>
      <c r="E608" t="s">
        <v>1796</v>
      </c>
    </row>
    <row r="609" spans="1:5" x14ac:dyDescent="0.35">
      <c r="A609" s="2" t="s">
        <v>682</v>
      </c>
      <c r="B609" s="2" t="s">
        <v>374</v>
      </c>
      <c r="C609" s="3">
        <v>121.58</v>
      </c>
      <c r="D609" s="1">
        <v>140</v>
      </c>
      <c r="E609" t="s">
        <v>1797</v>
      </c>
    </row>
    <row r="610" spans="1:5" x14ac:dyDescent="0.35">
      <c r="A610" s="2" t="s">
        <v>682</v>
      </c>
      <c r="B610" s="2" t="s">
        <v>5</v>
      </c>
      <c r="C610" s="3">
        <v>250.93</v>
      </c>
      <c r="D610" s="1">
        <v>290</v>
      </c>
      <c r="E610" t="s">
        <v>1797</v>
      </c>
    </row>
    <row r="611" spans="1:5" x14ac:dyDescent="0.35">
      <c r="A611" s="2" t="s">
        <v>682</v>
      </c>
      <c r="B611" s="2" t="s">
        <v>4</v>
      </c>
      <c r="C611" s="3">
        <v>481.29</v>
      </c>
      <c r="D611" s="1">
        <v>540</v>
      </c>
      <c r="E611" t="s">
        <v>1797</v>
      </c>
    </row>
    <row r="612" spans="1:5" x14ac:dyDescent="0.35">
      <c r="A612" s="2" t="s">
        <v>683</v>
      </c>
      <c r="B612" s="2" t="s">
        <v>374</v>
      </c>
      <c r="C612" s="3">
        <v>102.72</v>
      </c>
      <c r="D612" s="1">
        <v>120</v>
      </c>
      <c r="E612" t="s">
        <v>1798</v>
      </c>
    </row>
    <row r="613" spans="1:5" x14ac:dyDescent="0.35">
      <c r="A613" s="2" t="s">
        <v>684</v>
      </c>
      <c r="B613" s="2" t="s">
        <v>374</v>
      </c>
      <c r="C613" s="3">
        <v>129.99</v>
      </c>
      <c r="D613" s="1">
        <v>150</v>
      </c>
      <c r="E613" t="s">
        <v>1799</v>
      </c>
    </row>
    <row r="614" spans="1:5" x14ac:dyDescent="0.35">
      <c r="A614" s="2" t="s">
        <v>685</v>
      </c>
      <c r="B614" s="2" t="s">
        <v>5</v>
      </c>
      <c r="C614" s="3">
        <v>268.74</v>
      </c>
      <c r="D614" s="1">
        <v>310</v>
      </c>
      <c r="E614" t="s">
        <v>1799</v>
      </c>
    </row>
    <row r="615" spans="1:5" x14ac:dyDescent="0.35">
      <c r="A615" s="2" t="s">
        <v>686</v>
      </c>
      <c r="B615" s="2" t="s">
        <v>4</v>
      </c>
      <c r="C615" s="3">
        <v>516.37</v>
      </c>
      <c r="D615" s="1">
        <v>580</v>
      </c>
      <c r="E615" t="s">
        <v>1799</v>
      </c>
    </row>
    <row r="616" spans="1:5" x14ac:dyDescent="0.35">
      <c r="A616" s="2" t="s">
        <v>220</v>
      </c>
      <c r="B616" s="2" t="s">
        <v>374</v>
      </c>
      <c r="C616" s="3">
        <v>214.99</v>
      </c>
      <c r="D616" s="1">
        <v>250</v>
      </c>
      <c r="E616" t="s">
        <v>1800</v>
      </c>
    </row>
    <row r="617" spans="1:5" x14ac:dyDescent="0.35">
      <c r="A617" s="2" t="s">
        <v>687</v>
      </c>
      <c r="B617" s="2" t="s">
        <v>5</v>
      </c>
      <c r="C617" s="3">
        <v>439.1</v>
      </c>
      <c r="D617" s="1">
        <v>500</v>
      </c>
      <c r="E617" t="s">
        <v>1800</v>
      </c>
    </row>
    <row r="618" spans="1:5" x14ac:dyDescent="0.35">
      <c r="A618" s="2" t="s">
        <v>688</v>
      </c>
      <c r="B618" s="2" t="s">
        <v>4</v>
      </c>
      <c r="C618" s="3">
        <v>847.31</v>
      </c>
      <c r="D618" s="1">
        <v>950</v>
      </c>
      <c r="E618" t="s">
        <v>1800</v>
      </c>
    </row>
    <row r="619" spans="1:5" x14ac:dyDescent="0.35">
      <c r="A619" s="2" t="s">
        <v>689</v>
      </c>
      <c r="B619" s="2" t="s">
        <v>376</v>
      </c>
      <c r="C619" s="3">
        <v>107.31</v>
      </c>
      <c r="D619" s="1">
        <v>130</v>
      </c>
      <c r="E619" t="s">
        <v>1800</v>
      </c>
    </row>
    <row r="620" spans="1:5" x14ac:dyDescent="0.35">
      <c r="A620" s="2" t="s">
        <v>690</v>
      </c>
      <c r="B620" s="2" t="s">
        <v>374</v>
      </c>
      <c r="C620" s="3">
        <v>215.38</v>
      </c>
      <c r="D620" s="1">
        <v>250</v>
      </c>
      <c r="E620" t="s">
        <v>1801</v>
      </c>
    </row>
    <row r="621" spans="1:5" x14ac:dyDescent="0.35">
      <c r="A621" s="2" t="s">
        <v>691</v>
      </c>
      <c r="B621" s="2" t="s">
        <v>5</v>
      </c>
      <c r="C621" s="3">
        <v>439.01</v>
      </c>
      <c r="D621" s="1">
        <v>500</v>
      </c>
      <c r="E621" t="s">
        <v>1801</v>
      </c>
    </row>
    <row r="622" spans="1:5" x14ac:dyDescent="0.35">
      <c r="A622" s="2" t="s">
        <v>221</v>
      </c>
      <c r="B622" s="2" t="s">
        <v>4</v>
      </c>
      <c r="C622" s="3">
        <v>847.73</v>
      </c>
      <c r="D622" s="1">
        <v>950</v>
      </c>
      <c r="E622" t="s">
        <v>1801</v>
      </c>
    </row>
    <row r="623" spans="1:5" x14ac:dyDescent="0.35">
      <c r="A623" s="2" t="s">
        <v>222</v>
      </c>
      <c r="B623" s="2" t="s">
        <v>376</v>
      </c>
      <c r="C623" s="3">
        <v>107.71</v>
      </c>
      <c r="D623" s="1">
        <v>130</v>
      </c>
      <c r="E623" t="s">
        <v>1801</v>
      </c>
    </row>
    <row r="624" spans="1:5" x14ac:dyDescent="0.35">
      <c r="A624" s="2" t="s">
        <v>692</v>
      </c>
      <c r="B624" s="2" t="s">
        <v>374</v>
      </c>
      <c r="C624" s="3">
        <v>139.66</v>
      </c>
      <c r="D624" s="1">
        <v>160</v>
      </c>
      <c r="E624" t="s">
        <v>1802</v>
      </c>
    </row>
    <row r="625" spans="1:5" x14ac:dyDescent="0.35">
      <c r="A625" s="2" t="s">
        <v>693</v>
      </c>
      <c r="B625" s="2" t="s">
        <v>5</v>
      </c>
      <c r="C625" s="3">
        <v>277.73</v>
      </c>
      <c r="D625" s="1">
        <v>320</v>
      </c>
      <c r="E625" t="s">
        <v>1802</v>
      </c>
    </row>
    <row r="626" spans="1:5" x14ac:dyDescent="0.35">
      <c r="A626" s="2" t="s">
        <v>694</v>
      </c>
      <c r="B626" s="2" t="s">
        <v>4</v>
      </c>
      <c r="C626" s="3">
        <v>524.98</v>
      </c>
      <c r="D626" s="1">
        <v>590</v>
      </c>
      <c r="E626" t="s">
        <v>1802</v>
      </c>
    </row>
    <row r="627" spans="1:5" x14ac:dyDescent="0.35">
      <c r="A627" s="2" t="s">
        <v>695</v>
      </c>
      <c r="B627" s="2" t="s">
        <v>374</v>
      </c>
      <c r="C627" s="3">
        <v>187.09</v>
      </c>
      <c r="D627" s="1">
        <v>210</v>
      </c>
      <c r="E627" t="s">
        <v>1803</v>
      </c>
    </row>
    <row r="628" spans="1:5" x14ac:dyDescent="0.35">
      <c r="A628" s="2" t="s">
        <v>696</v>
      </c>
      <c r="B628" s="2" t="s">
        <v>5</v>
      </c>
      <c r="C628" s="3">
        <v>362.28</v>
      </c>
      <c r="D628" s="1">
        <v>410</v>
      </c>
      <c r="E628" t="s">
        <v>1803</v>
      </c>
    </row>
    <row r="629" spans="1:5" x14ac:dyDescent="0.35">
      <c r="A629" s="2" t="s">
        <v>697</v>
      </c>
      <c r="B629" s="2" t="s">
        <v>4</v>
      </c>
      <c r="C629" s="3">
        <v>704.65</v>
      </c>
      <c r="D629" s="1">
        <v>790</v>
      </c>
      <c r="E629" t="s">
        <v>1803</v>
      </c>
    </row>
    <row r="630" spans="1:5" x14ac:dyDescent="0.35">
      <c r="A630" s="2" t="s">
        <v>698</v>
      </c>
      <c r="B630" s="2" t="s">
        <v>374</v>
      </c>
      <c r="C630" s="3">
        <v>186.87</v>
      </c>
      <c r="D630" s="1">
        <v>210</v>
      </c>
      <c r="E630" t="s">
        <v>1804</v>
      </c>
    </row>
    <row r="631" spans="1:5" x14ac:dyDescent="0.35">
      <c r="A631" s="2" t="s">
        <v>699</v>
      </c>
      <c r="B631" s="2" t="s">
        <v>5</v>
      </c>
      <c r="C631" s="3">
        <v>371.81</v>
      </c>
      <c r="D631" s="1">
        <v>420</v>
      </c>
      <c r="E631" t="s">
        <v>1804</v>
      </c>
    </row>
    <row r="632" spans="1:5" x14ac:dyDescent="0.35">
      <c r="A632" s="2" t="s">
        <v>700</v>
      </c>
      <c r="B632" s="2" t="s">
        <v>4</v>
      </c>
      <c r="C632" s="3">
        <v>723.61</v>
      </c>
      <c r="D632" s="1">
        <v>820</v>
      </c>
      <c r="E632" t="s">
        <v>1804</v>
      </c>
    </row>
    <row r="633" spans="1:5" x14ac:dyDescent="0.35">
      <c r="A633" s="2" t="s">
        <v>701</v>
      </c>
      <c r="B633" s="2" t="s">
        <v>374</v>
      </c>
      <c r="C633" s="3">
        <v>186.87</v>
      </c>
      <c r="D633" s="1">
        <v>210</v>
      </c>
      <c r="E633" t="s">
        <v>1196</v>
      </c>
    </row>
    <row r="634" spans="1:5" x14ac:dyDescent="0.35">
      <c r="A634" s="2" t="s">
        <v>702</v>
      </c>
      <c r="B634" s="2" t="s">
        <v>4</v>
      </c>
      <c r="C634" s="3">
        <v>723.61</v>
      </c>
      <c r="D634" s="1">
        <v>820</v>
      </c>
      <c r="E634" t="s">
        <v>1196</v>
      </c>
    </row>
    <row r="635" spans="1:5" x14ac:dyDescent="0.35">
      <c r="A635" s="2" t="s">
        <v>703</v>
      </c>
      <c r="B635" s="2" t="s">
        <v>374</v>
      </c>
      <c r="C635" s="3">
        <v>215.19</v>
      </c>
      <c r="D635" s="1">
        <v>250</v>
      </c>
      <c r="E635" t="s">
        <v>1805</v>
      </c>
    </row>
    <row r="636" spans="1:5" x14ac:dyDescent="0.35">
      <c r="A636" s="2" t="s">
        <v>223</v>
      </c>
      <c r="B636" s="2" t="s">
        <v>5</v>
      </c>
      <c r="C636" s="3">
        <v>438.4</v>
      </c>
      <c r="D636" s="1">
        <v>500</v>
      </c>
      <c r="E636" t="s">
        <v>1805</v>
      </c>
    </row>
    <row r="637" spans="1:5" x14ac:dyDescent="0.35">
      <c r="A637" s="2" t="s">
        <v>224</v>
      </c>
      <c r="B637" s="2" t="s">
        <v>4</v>
      </c>
      <c r="C637" s="3">
        <v>847.6</v>
      </c>
      <c r="D637" s="1">
        <v>950</v>
      </c>
      <c r="E637" t="s">
        <v>1805</v>
      </c>
    </row>
    <row r="638" spans="1:5" x14ac:dyDescent="0.35">
      <c r="A638" s="2" t="s">
        <v>704</v>
      </c>
      <c r="B638" s="2" t="s">
        <v>5</v>
      </c>
      <c r="C638" s="3">
        <v>315.08</v>
      </c>
      <c r="D638" s="1">
        <v>360</v>
      </c>
      <c r="E638" t="s">
        <v>1806</v>
      </c>
    </row>
    <row r="639" spans="1:5" x14ac:dyDescent="0.35">
      <c r="A639" s="2" t="s">
        <v>705</v>
      </c>
      <c r="B639" s="2" t="s">
        <v>4</v>
      </c>
      <c r="C639" s="3">
        <v>610.15</v>
      </c>
      <c r="D639" s="1">
        <v>690</v>
      </c>
      <c r="E639" t="s">
        <v>1806</v>
      </c>
    </row>
    <row r="640" spans="1:5" x14ac:dyDescent="0.35">
      <c r="A640" s="2" t="s">
        <v>706</v>
      </c>
      <c r="B640" s="2" t="s">
        <v>374</v>
      </c>
      <c r="C640" s="3">
        <v>133.09</v>
      </c>
      <c r="D640" s="1">
        <v>150</v>
      </c>
      <c r="E640" t="s">
        <v>1807</v>
      </c>
    </row>
    <row r="641" spans="1:5" x14ac:dyDescent="0.35">
      <c r="A641" s="2" t="s">
        <v>707</v>
      </c>
      <c r="B641" s="2" t="s">
        <v>374</v>
      </c>
      <c r="C641" s="3">
        <v>177.37</v>
      </c>
      <c r="D641" s="1">
        <v>200</v>
      </c>
      <c r="E641" t="s">
        <v>1807</v>
      </c>
    </row>
    <row r="642" spans="1:5" x14ac:dyDescent="0.35">
      <c r="A642" s="2" t="s">
        <v>225</v>
      </c>
      <c r="B642" s="2" t="s">
        <v>5</v>
      </c>
      <c r="C642" s="3">
        <v>311.98</v>
      </c>
      <c r="D642" s="1">
        <v>350</v>
      </c>
      <c r="E642" t="s">
        <v>1807</v>
      </c>
    </row>
    <row r="643" spans="1:5" x14ac:dyDescent="0.35">
      <c r="A643" s="2" t="s">
        <v>708</v>
      </c>
      <c r="B643" s="2" t="s">
        <v>4</v>
      </c>
      <c r="C643" s="3">
        <v>495.05</v>
      </c>
      <c r="D643" s="1">
        <v>560</v>
      </c>
      <c r="E643" t="s">
        <v>1807</v>
      </c>
    </row>
    <row r="644" spans="1:5" x14ac:dyDescent="0.35">
      <c r="A644" s="2" t="s">
        <v>709</v>
      </c>
      <c r="B644" s="2" t="s">
        <v>4</v>
      </c>
      <c r="C644" s="3">
        <v>634.30999999999995</v>
      </c>
      <c r="D644" s="1">
        <v>720</v>
      </c>
      <c r="E644" t="s">
        <v>1807</v>
      </c>
    </row>
    <row r="645" spans="1:5" x14ac:dyDescent="0.35">
      <c r="A645" s="2" t="s">
        <v>710</v>
      </c>
      <c r="B645" s="2" t="s">
        <v>374</v>
      </c>
      <c r="C645" s="3">
        <v>120.94</v>
      </c>
      <c r="D645" s="1">
        <v>140</v>
      </c>
      <c r="E645" t="s">
        <v>1808</v>
      </c>
    </row>
    <row r="646" spans="1:5" x14ac:dyDescent="0.35">
      <c r="A646" s="2" t="s">
        <v>711</v>
      </c>
      <c r="B646" s="2" t="s">
        <v>5</v>
      </c>
      <c r="C646" s="3">
        <v>250.24</v>
      </c>
      <c r="D646" s="1">
        <v>290</v>
      </c>
      <c r="E646" t="s">
        <v>1808</v>
      </c>
    </row>
    <row r="647" spans="1:5" x14ac:dyDescent="0.35">
      <c r="A647" s="2" t="s">
        <v>712</v>
      </c>
      <c r="B647" s="2" t="s">
        <v>4</v>
      </c>
      <c r="C647" s="3">
        <v>480.59</v>
      </c>
      <c r="D647" s="1">
        <v>540</v>
      </c>
      <c r="E647" t="s">
        <v>1808</v>
      </c>
    </row>
    <row r="648" spans="1:5" x14ac:dyDescent="0.35">
      <c r="A648" s="2" t="s">
        <v>226</v>
      </c>
      <c r="B648" s="2" t="s">
        <v>374</v>
      </c>
      <c r="C648" s="3">
        <v>148.88999999999999</v>
      </c>
      <c r="D648" s="1">
        <v>170</v>
      </c>
      <c r="E648" t="s">
        <v>1809</v>
      </c>
    </row>
    <row r="649" spans="1:5" x14ac:dyDescent="0.35">
      <c r="A649" s="2" t="s">
        <v>227</v>
      </c>
      <c r="B649" s="2" t="s">
        <v>5</v>
      </c>
      <c r="C649" s="3">
        <v>295.81</v>
      </c>
      <c r="D649" s="1">
        <v>340</v>
      </c>
      <c r="E649" t="s">
        <v>1809</v>
      </c>
    </row>
    <row r="650" spans="1:5" x14ac:dyDescent="0.35">
      <c r="A650" s="2" t="s">
        <v>228</v>
      </c>
      <c r="B650" s="2" t="s">
        <v>4</v>
      </c>
      <c r="C650" s="3">
        <v>581.58000000000004</v>
      </c>
      <c r="D650" s="1">
        <v>660</v>
      </c>
      <c r="E650" t="s">
        <v>1809</v>
      </c>
    </row>
    <row r="651" spans="1:5" x14ac:dyDescent="0.35">
      <c r="A651" s="2" t="s">
        <v>229</v>
      </c>
      <c r="B651" s="2" t="s">
        <v>374</v>
      </c>
      <c r="C651" s="3">
        <v>130.01</v>
      </c>
      <c r="D651" s="1">
        <v>150</v>
      </c>
      <c r="E651" t="s">
        <v>1810</v>
      </c>
    </row>
    <row r="652" spans="1:5" x14ac:dyDescent="0.35">
      <c r="A652" s="2" t="s">
        <v>230</v>
      </c>
      <c r="B652" s="2" t="s">
        <v>5</v>
      </c>
      <c r="C652" s="3">
        <v>268.2</v>
      </c>
      <c r="D652" s="1">
        <v>310</v>
      </c>
      <c r="E652" t="s">
        <v>1810</v>
      </c>
    </row>
    <row r="653" spans="1:5" x14ac:dyDescent="0.35">
      <c r="A653" s="2" t="s">
        <v>231</v>
      </c>
      <c r="B653" s="2" t="s">
        <v>4</v>
      </c>
      <c r="C653" s="3">
        <v>516.41</v>
      </c>
      <c r="D653" s="1">
        <v>580</v>
      </c>
      <c r="E653" t="s">
        <v>1810</v>
      </c>
    </row>
    <row r="654" spans="1:5" x14ac:dyDescent="0.35">
      <c r="A654" s="2" t="s">
        <v>713</v>
      </c>
      <c r="B654" s="2" t="s">
        <v>374</v>
      </c>
      <c r="C654" s="3">
        <v>177.28</v>
      </c>
      <c r="D654" s="1">
        <v>200</v>
      </c>
      <c r="E654" t="s">
        <v>1811</v>
      </c>
    </row>
    <row r="655" spans="1:5" x14ac:dyDescent="0.35">
      <c r="A655" s="2" t="s">
        <v>714</v>
      </c>
      <c r="B655" s="2" t="s">
        <v>5</v>
      </c>
      <c r="C655" s="3">
        <v>352.67</v>
      </c>
      <c r="D655" s="1">
        <v>400</v>
      </c>
      <c r="E655" t="s">
        <v>1811</v>
      </c>
    </row>
    <row r="656" spans="1:5" x14ac:dyDescent="0.35">
      <c r="A656" s="2" t="s">
        <v>715</v>
      </c>
      <c r="B656" s="2" t="s">
        <v>4</v>
      </c>
      <c r="C656" s="3">
        <v>695.26</v>
      </c>
      <c r="D656" s="1">
        <v>780</v>
      </c>
      <c r="E656" t="s">
        <v>1811</v>
      </c>
    </row>
    <row r="657" spans="1:5" x14ac:dyDescent="0.35">
      <c r="A657" s="2" t="s">
        <v>716</v>
      </c>
      <c r="B657" s="2" t="s">
        <v>374</v>
      </c>
      <c r="C657" s="3">
        <v>177.24</v>
      </c>
      <c r="D657" s="1">
        <v>200</v>
      </c>
      <c r="E657" t="s">
        <v>1812</v>
      </c>
    </row>
    <row r="658" spans="1:5" x14ac:dyDescent="0.35">
      <c r="A658" s="2" t="s">
        <v>716</v>
      </c>
      <c r="B658" s="2" t="s">
        <v>5</v>
      </c>
      <c r="C658" s="3">
        <v>362.58</v>
      </c>
      <c r="D658" s="1">
        <v>410</v>
      </c>
      <c r="E658" t="s">
        <v>1812</v>
      </c>
    </row>
    <row r="659" spans="1:5" x14ac:dyDescent="0.35">
      <c r="A659" s="2" t="s">
        <v>716</v>
      </c>
      <c r="B659" s="2" t="s">
        <v>4</v>
      </c>
      <c r="C659" s="3">
        <v>696.49</v>
      </c>
      <c r="D659" s="1">
        <v>790</v>
      </c>
      <c r="E659" t="s">
        <v>1812</v>
      </c>
    </row>
    <row r="660" spans="1:5" x14ac:dyDescent="0.35">
      <c r="A660" s="2" t="s">
        <v>717</v>
      </c>
      <c r="B660" s="2" t="s">
        <v>374</v>
      </c>
      <c r="C660" s="3">
        <v>177.24</v>
      </c>
      <c r="D660" s="1">
        <v>200</v>
      </c>
      <c r="E660" t="s">
        <v>1813</v>
      </c>
    </row>
    <row r="661" spans="1:5" x14ac:dyDescent="0.35">
      <c r="A661" s="2" t="s">
        <v>717</v>
      </c>
      <c r="B661" s="2" t="s">
        <v>5</v>
      </c>
      <c r="C661" s="3">
        <v>362.58</v>
      </c>
      <c r="D661" s="1">
        <v>410</v>
      </c>
      <c r="E661" t="s">
        <v>1813</v>
      </c>
    </row>
    <row r="662" spans="1:5" x14ac:dyDescent="0.35">
      <c r="A662" s="2" t="s">
        <v>717</v>
      </c>
      <c r="B662" s="2" t="s">
        <v>4</v>
      </c>
      <c r="C662" s="3">
        <v>695.15</v>
      </c>
      <c r="D662" s="1">
        <v>780</v>
      </c>
      <c r="E662" t="s">
        <v>1813</v>
      </c>
    </row>
    <row r="663" spans="1:5" x14ac:dyDescent="0.35">
      <c r="A663" s="2" t="s">
        <v>232</v>
      </c>
      <c r="B663" s="2" t="s">
        <v>4</v>
      </c>
      <c r="C663" s="3">
        <v>1196.3800000000001</v>
      </c>
      <c r="D663" s="1">
        <v>1340</v>
      </c>
      <c r="E663" t="s">
        <v>1814</v>
      </c>
    </row>
    <row r="664" spans="1:5" x14ac:dyDescent="0.35">
      <c r="A664" s="2" t="s">
        <v>233</v>
      </c>
      <c r="B664" s="2" t="s">
        <v>4</v>
      </c>
      <c r="C664" s="3">
        <v>1093.2</v>
      </c>
      <c r="D664" s="1">
        <v>1230</v>
      </c>
      <c r="E664" t="s">
        <v>1815</v>
      </c>
    </row>
    <row r="665" spans="1:5" x14ac:dyDescent="0.35">
      <c r="A665" s="2" t="s">
        <v>234</v>
      </c>
      <c r="B665" s="2" t="s">
        <v>4</v>
      </c>
      <c r="C665" s="3">
        <v>951.24</v>
      </c>
      <c r="D665" s="1">
        <v>1070</v>
      </c>
      <c r="E665" t="s">
        <v>1816</v>
      </c>
    </row>
    <row r="666" spans="1:5" x14ac:dyDescent="0.35">
      <c r="A666" s="2" t="s">
        <v>235</v>
      </c>
      <c r="B666" s="2" t="s">
        <v>4</v>
      </c>
      <c r="C666" s="3">
        <v>1358.74</v>
      </c>
      <c r="D666" s="1">
        <v>1530</v>
      </c>
      <c r="E666" t="s">
        <v>1817</v>
      </c>
    </row>
    <row r="667" spans="1:5" x14ac:dyDescent="0.35">
      <c r="A667" s="2" t="s">
        <v>718</v>
      </c>
      <c r="B667" s="2" t="s">
        <v>4</v>
      </c>
      <c r="C667" s="3">
        <v>1367.95</v>
      </c>
      <c r="D667" s="1">
        <v>1540</v>
      </c>
      <c r="E667" t="s">
        <v>1818</v>
      </c>
    </row>
    <row r="668" spans="1:5" x14ac:dyDescent="0.35">
      <c r="A668" s="2" t="s">
        <v>236</v>
      </c>
      <c r="B668" s="2" t="s">
        <v>4</v>
      </c>
      <c r="C668" s="3">
        <v>1226.82</v>
      </c>
      <c r="D668" s="1">
        <v>1380</v>
      </c>
      <c r="E668" t="s">
        <v>1819</v>
      </c>
    </row>
    <row r="669" spans="1:5" x14ac:dyDescent="0.35">
      <c r="A669" s="2" t="s">
        <v>719</v>
      </c>
      <c r="B669" s="2" t="s">
        <v>4</v>
      </c>
      <c r="C669" s="3">
        <v>7828.48</v>
      </c>
      <c r="D669" s="1">
        <v>8770</v>
      </c>
      <c r="E669" t="s">
        <v>1820</v>
      </c>
    </row>
    <row r="670" spans="1:5" x14ac:dyDescent="0.35">
      <c r="A670" s="2" t="s">
        <v>720</v>
      </c>
      <c r="B670" s="2" t="s">
        <v>4</v>
      </c>
      <c r="C670" s="3">
        <v>5694.26</v>
      </c>
      <c r="D670" s="1">
        <v>6380</v>
      </c>
      <c r="E670" t="s">
        <v>1821</v>
      </c>
    </row>
    <row r="671" spans="1:5" x14ac:dyDescent="0.35">
      <c r="A671" s="2" t="s">
        <v>237</v>
      </c>
      <c r="B671" s="2" t="s">
        <v>374</v>
      </c>
      <c r="C671" s="3">
        <v>1574.19</v>
      </c>
      <c r="D671" s="1">
        <v>1770</v>
      </c>
      <c r="E671" t="s">
        <v>1822</v>
      </c>
    </row>
    <row r="672" spans="1:5" x14ac:dyDescent="0.35">
      <c r="A672" s="2" t="s">
        <v>721</v>
      </c>
      <c r="B672" s="2" t="s">
        <v>4</v>
      </c>
      <c r="C672" s="3">
        <v>5168.07</v>
      </c>
      <c r="D672" s="1">
        <v>5790</v>
      </c>
      <c r="E672" t="s">
        <v>1823</v>
      </c>
    </row>
    <row r="673" spans="1:5" x14ac:dyDescent="0.35">
      <c r="A673" s="2" t="s">
        <v>722</v>
      </c>
      <c r="B673" s="2" t="s">
        <v>4</v>
      </c>
      <c r="C673" s="3">
        <v>2430.37</v>
      </c>
      <c r="D673" s="1">
        <v>2730</v>
      </c>
      <c r="E673" t="s">
        <v>1824</v>
      </c>
    </row>
    <row r="674" spans="1:5" x14ac:dyDescent="0.35">
      <c r="A674" s="2" t="s">
        <v>723</v>
      </c>
      <c r="B674" s="2" t="s">
        <v>4</v>
      </c>
      <c r="C674" s="3">
        <v>3788.66</v>
      </c>
      <c r="D674" s="1">
        <v>4250</v>
      </c>
      <c r="E674" t="s">
        <v>1825</v>
      </c>
    </row>
    <row r="675" spans="1:5" x14ac:dyDescent="0.35">
      <c r="A675" s="2" t="s">
        <v>238</v>
      </c>
      <c r="B675" s="2" t="s">
        <v>4</v>
      </c>
      <c r="C675" s="3">
        <v>1415.08</v>
      </c>
      <c r="D675" s="1">
        <v>1590</v>
      </c>
      <c r="E675" t="s">
        <v>1826</v>
      </c>
    </row>
    <row r="676" spans="1:5" x14ac:dyDescent="0.35">
      <c r="A676" s="2" t="s">
        <v>724</v>
      </c>
      <c r="B676" s="2" t="s">
        <v>4</v>
      </c>
      <c r="C676" s="3">
        <v>1831.11</v>
      </c>
      <c r="D676" s="1">
        <v>2060</v>
      </c>
      <c r="E676" t="s">
        <v>1827</v>
      </c>
    </row>
    <row r="677" spans="1:5" x14ac:dyDescent="0.35">
      <c r="A677" s="2" t="s">
        <v>725</v>
      </c>
      <c r="B677" s="2" t="s">
        <v>4</v>
      </c>
      <c r="C677" s="3">
        <v>2253</v>
      </c>
      <c r="D677" s="1">
        <v>2530</v>
      </c>
      <c r="E677" t="s">
        <v>1828</v>
      </c>
    </row>
    <row r="678" spans="1:5" x14ac:dyDescent="0.35">
      <c r="A678" s="2" t="s">
        <v>726</v>
      </c>
      <c r="B678" s="2" t="s">
        <v>374</v>
      </c>
      <c r="C678" s="3">
        <v>139.77000000000001</v>
      </c>
      <c r="D678" s="1">
        <v>160</v>
      </c>
      <c r="E678" t="s">
        <v>1829</v>
      </c>
    </row>
    <row r="679" spans="1:5" x14ac:dyDescent="0.35">
      <c r="A679" s="2" t="s">
        <v>727</v>
      </c>
      <c r="B679" s="2" t="s">
        <v>4</v>
      </c>
      <c r="C679" s="3">
        <v>2440</v>
      </c>
      <c r="D679" s="1">
        <v>2740</v>
      </c>
      <c r="E679" t="s">
        <v>1830</v>
      </c>
    </row>
    <row r="680" spans="1:5" x14ac:dyDescent="0.35">
      <c r="A680" s="2" t="s">
        <v>728</v>
      </c>
      <c r="B680" s="2" t="s">
        <v>5</v>
      </c>
      <c r="C680" s="3">
        <v>142</v>
      </c>
      <c r="D680" s="1">
        <v>160</v>
      </c>
      <c r="E680" t="s">
        <v>1831</v>
      </c>
    </row>
    <row r="681" spans="1:5" x14ac:dyDescent="0.35">
      <c r="A681" s="2" t="s">
        <v>239</v>
      </c>
      <c r="B681" s="2" t="s">
        <v>5</v>
      </c>
      <c r="C681" s="3">
        <v>539.57000000000005</v>
      </c>
      <c r="D681" s="1">
        <v>610</v>
      </c>
      <c r="E681" t="s">
        <v>1832</v>
      </c>
    </row>
    <row r="682" spans="1:5" x14ac:dyDescent="0.35">
      <c r="A682" s="2" t="s">
        <v>729</v>
      </c>
      <c r="B682" s="2" t="s">
        <v>374</v>
      </c>
      <c r="C682" s="3">
        <v>102.75</v>
      </c>
      <c r="D682" s="1">
        <v>120</v>
      </c>
      <c r="E682" t="s">
        <v>1833</v>
      </c>
    </row>
    <row r="683" spans="1:5" x14ac:dyDescent="0.35">
      <c r="A683" s="2" t="s">
        <v>240</v>
      </c>
      <c r="B683" s="2" t="s">
        <v>4</v>
      </c>
      <c r="C683" s="3">
        <v>9471.41</v>
      </c>
      <c r="D683" s="1">
        <v>10610</v>
      </c>
      <c r="E683" t="s">
        <v>1217</v>
      </c>
    </row>
    <row r="684" spans="1:5" x14ac:dyDescent="0.35">
      <c r="A684" s="2" t="s">
        <v>241</v>
      </c>
      <c r="B684" s="2" t="s">
        <v>4</v>
      </c>
      <c r="C684" s="3">
        <v>1355.53</v>
      </c>
      <c r="D684" s="1">
        <v>1520</v>
      </c>
      <c r="E684" t="s">
        <v>1834</v>
      </c>
    </row>
    <row r="685" spans="1:5" x14ac:dyDescent="0.35">
      <c r="A685" s="2" t="s">
        <v>242</v>
      </c>
      <c r="B685" s="2" t="s">
        <v>374</v>
      </c>
      <c r="C685" s="3">
        <v>215.58</v>
      </c>
      <c r="D685" s="1">
        <v>250</v>
      </c>
      <c r="E685" t="s">
        <v>1835</v>
      </c>
    </row>
    <row r="686" spans="1:5" x14ac:dyDescent="0.35">
      <c r="A686" s="2" t="s">
        <v>730</v>
      </c>
      <c r="B686" s="2" t="s">
        <v>5</v>
      </c>
      <c r="C686" s="3">
        <v>429.22</v>
      </c>
      <c r="D686" s="1">
        <v>490</v>
      </c>
      <c r="E686" t="s">
        <v>1836</v>
      </c>
    </row>
    <row r="687" spans="1:5" x14ac:dyDescent="0.35">
      <c r="A687" s="2" t="s">
        <v>243</v>
      </c>
      <c r="B687" s="2" t="s">
        <v>4</v>
      </c>
      <c r="C687" s="3">
        <v>838.41</v>
      </c>
      <c r="D687" s="1">
        <v>940</v>
      </c>
      <c r="E687" t="s">
        <v>1836</v>
      </c>
    </row>
    <row r="688" spans="1:5" x14ac:dyDescent="0.35">
      <c r="A688" s="2" t="s">
        <v>244</v>
      </c>
      <c r="B688" s="2" t="s">
        <v>376</v>
      </c>
      <c r="C688" s="3">
        <v>107.71</v>
      </c>
      <c r="D688" s="1">
        <v>130</v>
      </c>
      <c r="E688" t="s">
        <v>1835</v>
      </c>
    </row>
    <row r="689" spans="1:5" x14ac:dyDescent="0.35">
      <c r="A689" s="2" t="s">
        <v>731</v>
      </c>
      <c r="B689" s="2" t="s">
        <v>374</v>
      </c>
      <c r="C689" s="3">
        <v>158.69999999999999</v>
      </c>
      <c r="D689" s="1">
        <v>180</v>
      </c>
      <c r="E689" t="s">
        <v>1837</v>
      </c>
    </row>
    <row r="690" spans="1:5" x14ac:dyDescent="0.35">
      <c r="A690" s="2" t="s">
        <v>731</v>
      </c>
      <c r="B690" s="2" t="s">
        <v>5</v>
      </c>
      <c r="C690" s="3">
        <v>305.64999999999998</v>
      </c>
      <c r="D690" s="1">
        <v>350</v>
      </c>
      <c r="E690" t="s">
        <v>1837</v>
      </c>
    </row>
    <row r="691" spans="1:5" x14ac:dyDescent="0.35">
      <c r="A691" s="2" t="s">
        <v>245</v>
      </c>
      <c r="B691" s="2" t="s">
        <v>4</v>
      </c>
      <c r="C691" s="3">
        <v>591.12</v>
      </c>
      <c r="D691" s="1">
        <v>670</v>
      </c>
      <c r="E691" t="s">
        <v>1837</v>
      </c>
    </row>
    <row r="692" spans="1:5" x14ac:dyDescent="0.35">
      <c r="A692" s="2" t="s">
        <v>246</v>
      </c>
      <c r="B692" s="2" t="s">
        <v>376</v>
      </c>
      <c r="C692" s="3">
        <v>80.17</v>
      </c>
      <c r="D692" s="1">
        <v>90</v>
      </c>
      <c r="E692" t="s">
        <v>1837</v>
      </c>
    </row>
    <row r="693" spans="1:5" x14ac:dyDescent="0.35">
      <c r="A693" s="2" t="s">
        <v>247</v>
      </c>
      <c r="B693" s="2" t="s">
        <v>4</v>
      </c>
      <c r="C693" s="3">
        <v>314.52</v>
      </c>
      <c r="D693" s="1">
        <v>360</v>
      </c>
      <c r="E693" t="s">
        <v>1838</v>
      </c>
    </row>
    <row r="694" spans="1:5" x14ac:dyDescent="0.35">
      <c r="A694" s="2" t="s">
        <v>732</v>
      </c>
      <c r="B694" s="2" t="s">
        <v>374</v>
      </c>
      <c r="C694" s="3">
        <v>102.74</v>
      </c>
      <c r="D694" s="1">
        <v>120</v>
      </c>
      <c r="E694" t="s">
        <v>1839</v>
      </c>
    </row>
    <row r="695" spans="1:5" x14ac:dyDescent="0.35">
      <c r="A695" s="2" t="s">
        <v>248</v>
      </c>
      <c r="B695" s="2" t="s">
        <v>4</v>
      </c>
      <c r="C695" s="3">
        <v>9278.5</v>
      </c>
      <c r="D695" s="1">
        <v>10400</v>
      </c>
      <c r="E695" t="s">
        <v>1840</v>
      </c>
    </row>
    <row r="696" spans="1:5" x14ac:dyDescent="0.35">
      <c r="A696" s="2" t="s">
        <v>733</v>
      </c>
      <c r="B696" s="2" t="s">
        <v>374</v>
      </c>
      <c r="C696" s="3">
        <v>158.66999999999999</v>
      </c>
      <c r="D696" s="1">
        <v>180</v>
      </c>
      <c r="E696" t="s">
        <v>1841</v>
      </c>
    </row>
    <row r="697" spans="1:5" x14ac:dyDescent="0.35">
      <c r="A697" s="2" t="s">
        <v>733</v>
      </c>
      <c r="B697" s="2" t="s">
        <v>5</v>
      </c>
      <c r="C697" s="3">
        <v>305.68</v>
      </c>
      <c r="D697" s="1">
        <v>350</v>
      </c>
      <c r="E697" t="s">
        <v>1841</v>
      </c>
    </row>
    <row r="698" spans="1:5" x14ac:dyDescent="0.35">
      <c r="A698" s="2" t="s">
        <v>733</v>
      </c>
      <c r="B698" s="2" t="s">
        <v>4</v>
      </c>
      <c r="C698" s="3">
        <v>591.11</v>
      </c>
      <c r="D698" s="1">
        <v>670</v>
      </c>
      <c r="E698" t="s">
        <v>1841</v>
      </c>
    </row>
    <row r="699" spans="1:5" x14ac:dyDescent="0.35">
      <c r="A699" s="2" t="s">
        <v>249</v>
      </c>
      <c r="B699" s="2" t="s">
        <v>376</v>
      </c>
      <c r="C699" s="3">
        <v>79.34</v>
      </c>
      <c r="D699" s="1">
        <v>90</v>
      </c>
      <c r="E699" t="s">
        <v>1841</v>
      </c>
    </row>
    <row r="700" spans="1:5" x14ac:dyDescent="0.35">
      <c r="A700" s="2" t="s">
        <v>734</v>
      </c>
      <c r="B700" s="2" t="s">
        <v>375</v>
      </c>
      <c r="C700" s="3">
        <v>149.66999999999999</v>
      </c>
      <c r="D700" s="1">
        <v>170</v>
      </c>
      <c r="E700" t="s">
        <v>1842</v>
      </c>
    </row>
    <row r="701" spans="1:5" x14ac:dyDescent="0.35">
      <c r="A701" s="2" t="s">
        <v>735</v>
      </c>
      <c r="B701" s="2" t="s">
        <v>374</v>
      </c>
      <c r="C701" s="3">
        <v>120.87</v>
      </c>
      <c r="D701" s="1">
        <v>140</v>
      </c>
      <c r="E701" t="s">
        <v>1843</v>
      </c>
    </row>
    <row r="702" spans="1:5" x14ac:dyDescent="0.35">
      <c r="A702" s="2" t="s">
        <v>250</v>
      </c>
      <c r="B702" s="2" t="s">
        <v>5</v>
      </c>
      <c r="C702" s="3">
        <v>250.14</v>
      </c>
      <c r="D702" s="1">
        <v>290</v>
      </c>
      <c r="E702" t="s">
        <v>1843</v>
      </c>
    </row>
    <row r="703" spans="1:5" x14ac:dyDescent="0.35">
      <c r="A703" s="2" t="s">
        <v>736</v>
      </c>
      <c r="B703" s="2" t="s">
        <v>4</v>
      </c>
      <c r="C703" s="3">
        <v>480.28</v>
      </c>
      <c r="D703" s="1">
        <v>540</v>
      </c>
      <c r="E703" t="s">
        <v>1843</v>
      </c>
    </row>
    <row r="704" spans="1:5" x14ac:dyDescent="0.35">
      <c r="A704" s="2" t="s">
        <v>737</v>
      </c>
      <c r="B704" s="2" t="s">
        <v>4</v>
      </c>
      <c r="C704" s="3">
        <v>8167.02</v>
      </c>
      <c r="D704" s="1">
        <v>9150</v>
      </c>
      <c r="E704" s="2" t="s">
        <v>1844</v>
      </c>
    </row>
    <row r="705" spans="1:5" x14ac:dyDescent="0.35">
      <c r="A705" s="2" t="s">
        <v>251</v>
      </c>
      <c r="B705" s="2" t="s">
        <v>374</v>
      </c>
      <c r="C705" s="3">
        <v>136.5</v>
      </c>
      <c r="D705" s="1">
        <v>160</v>
      </c>
      <c r="E705" t="s">
        <v>1845</v>
      </c>
    </row>
    <row r="706" spans="1:5" x14ac:dyDescent="0.35">
      <c r="A706" s="2" t="s">
        <v>738</v>
      </c>
      <c r="B706" s="2" t="s">
        <v>374</v>
      </c>
      <c r="C706" s="3">
        <v>205.87</v>
      </c>
      <c r="D706" s="1">
        <v>240</v>
      </c>
      <c r="E706" t="s">
        <v>1846</v>
      </c>
    </row>
    <row r="707" spans="1:5" x14ac:dyDescent="0.35">
      <c r="A707" s="2" t="s">
        <v>252</v>
      </c>
      <c r="B707" s="2" t="s">
        <v>5</v>
      </c>
      <c r="C707" s="3">
        <v>419.79</v>
      </c>
      <c r="D707" s="1">
        <v>480</v>
      </c>
      <c r="E707" t="s">
        <v>1846</v>
      </c>
    </row>
    <row r="708" spans="1:5" x14ac:dyDescent="0.35">
      <c r="A708" s="2" t="s">
        <v>253</v>
      </c>
      <c r="B708" s="2" t="s">
        <v>4</v>
      </c>
      <c r="C708" s="3">
        <v>819.4</v>
      </c>
      <c r="D708" s="1">
        <v>920</v>
      </c>
      <c r="E708" t="s">
        <v>1846</v>
      </c>
    </row>
    <row r="709" spans="1:5" x14ac:dyDescent="0.35">
      <c r="A709" s="2" t="s">
        <v>254</v>
      </c>
      <c r="B709" s="2" t="s">
        <v>376</v>
      </c>
      <c r="C709" s="3">
        <v>107.93</v>
      </c>
      <c r="D709" s="1">
        <v>130</v>
      </c>
      <c r="E709" t="s">
        <v>1846</v>
      </c>
    </row>
    <row r="710" spans="1:5" x14ac:dyDescent="0.35">
      <c r="A710" s="2" t="s">
        <v>739</v>
      </c>
      <c r="B710" s="2" t="s">
        <v>374</v>
      </c>
      <c r="C710" s="3">
        <v>292.29000000000002</v>
      </c>
      <c r="D710" s="1">
        <v>330</v>
      </c>
      <c r="E710" t="s">
        <v>1847</v>
      </c>
    </row>
    <row r="711" spans="1:5" x14ac:dyDescent="0.35">
      <c r="A711" s="2" t="s">
        <v>740</v>
      </c>
      <c r="B711" s="2" t="s">
        <v>5</v>
      </c>
      <c r="C711" s="3">
        <v>592.27</v>
      </c>
      <c r="D711" s="1">
        <v>670</v>
      </c>
      <c r="E711" t="s">
        <v>1847</v>
      </c>
    </row>
    <row r="712" spans="1:5" x14ac:dyDescent="0.35">
      <c r="A712" s="2" t="s">
        <v>741</v>
      </c>
      <c r="B712" s="2" t="s">
        <v>4</v>
      </c>
      <c r="C712" s="3">
        <v>1184.53</v>
      </c>
      <c r="D712" s="1">
        <v>1330</v>
      </c>
      <c r="E712" t="s">
        <v>1847</v>
      </c>
    </row>
    <row r="713" spans="1:5" x14ac:dyDescent="0.35">
      <c r="A713" s="2" t="s">
        <v>742</v>
      </c>
      <c r="B713" s="2" t="s">
        <v>374</v>
      </c>
      <c r="C713" s="3">
        <v>224.85</v>
      </c>
      <c r="D713" s="1">
        <v>260</v>
      </c>
      <c r="E713" t="s">
        <v>1848</v>
      </c>
    </row>
    <row r="714" spans="1:5" x14ac:dyDescent="0.35">
      <c r="A714" s="2" t="s">
        <v>742</v>
      </c>
      <c r="B714" s="2" t="s">
        <v>5</v>
      </c>
      <c r="C714" s="3">
        <v>457.57</v>
      </c>
      <c r="D714" s="1">
        <v>520</v>
      </c>
      <c r="E714" t="s">
        <v>1848</v>
      </c>
    </row>
    <row r="715" spans="1:5" x14ac:dyDescent="0.35">
      <c r="A715" s="2" t="s">
        <v>742</v>
      </c>
      <c r="B715" s="2" t="s">
        <v>4</v>
      </c>
      <c r="C715" s="3">
        <v>895.12</v>
      </c>
      <c r="D715" s="1">
        <v>1010</v>
      </c>
      <c r="E715" t="s">
        <v>1848</v>
      </c>
    </row>
    <row r="716" spans="1:5" x14ac:dyDescent="0.35">
      <c r="A716" s="2" t="s">
        <v>255</v>
      </c>
      <c r="B716" s="2" t="s">
        <v>376</v>
      </c>
      <c r="C716" s="3">
        <v>117.42</v>
      </c>
      <c r="D716" s="1">
        <v>140</v>
      </c>
      <c r="E716" t="s">
        <v>1848</v>
      </c>
    </row>
    <row r="717" spans="1:5" x14ac:dyDescent="0.35">
      <c r="A717" s="2" t="s">
        <v>256</v>
      </c>
      <c r="B717" s="2" t="s">
        <v>4</v>
      </c>
      <c r="C717" s="3">
        <v>3827.99</v>
      </c>
      <c r="D717" s="1">
        <v>4290</v>
      </c>
      <c r="E717" t="s">
        <v>1849</v>
      </c>
    </row>
    <row r="718" spans="1:5" x14ac:dyDescent="0.35">
      <c r="A718" s="2" t="s">
        <v>743</v>
      </c>
      <c r="B718" s="2" t="s">
        <v>374</v>
      </c>
      <c r="C718" s="3">
        <v>102.74</v>
      </c>
      <c r="D718" s="1">
        <v>120</v>
      </c>
      <c r="E718" t="s">
        <v>1850</v>
      </c>
    </row>
    <row r="719" spans="1:5" x14ac:dyDescent="0.35">
      <c r="A719" s="2" t="s">
        <v>257</v>
      </c>
      <c r="B719" s="2" t="s">
        <v>4</v>
      </c>
      <c r="C719" s="3">
        <v>4098.42</v>
      </c>
      <c r="D719" s="1">
        <v>4600</v>
      </c>
      <c r="E719" t="s">
        <v>1851</v>
      </c>
    </row>
    <row r="720" spans="1:5" x14ac:dyDescent="0.35">
      <c r="A720" s="2" t="s">
        <v>258</v>
      </c>
      <c r="B720" s="2" t="s">
        <v>374</v>
      </c>
      <c r="C720" s="3">
        <v>234.58</v>
      </c>
      <c r="D720" s="1">
        <v>270</v>
      </c>
      <c r="E720" t="s">
        <v>1852</v>
      </c>
    </row>
    <row r="721" spans="1:5" x14ac:dyDescent="0.35">
      <c r="A721" s="2" t="s">
        <v>744</v>
      </c>
      <c r="B721" s="2" t="s">
        <v>4</v>
      </c>
      <c r="C721" s="3">
        <v>914.06</v>
      </c>
      <c r="D721" s="1">
        <v>1030</v>
      </c>
      <c r="E721" t="s">
        <v>1852</v>
      </c>
    </row>
    <row r="722" spans="1:5" x14ac:dyDescent="0.35">
      <c r="A722" s="2" t="s">
        <v>745</v>
      </c>
      <c r="B722" s="2" t="s">
        <v>374</v>
      </c>
      <c r="C722" s="3">
        <v>167.77</v>
      </c>
      <c r="D722" s="1">
        <v>190</v>
      </c>
      <c r="E722" t="s">
        <v>1853</v>
      </c>
    </row>
    <row r="723" spans="1:5" x14ac:dyDescent="0.35">
      <c r="A723" s="2" t="s">
        <v>745</v>
      </c>
      <c r="B723" s="2" t="s">
        <v>5</v>
      </c>
      <c r="C723" s="3">
        <v>333.69</v>
      </c>
      <c r="D723" s="1">
        <v>380</v>
      </c>
      <c r="E723" t="s">
        <v>1853</v>
      </c>
    </row>
    <row r="724" spans="1:5" x14ac:dyDescent="0.35">
      <c r="A724" s="2" t="s">
        <v>745</v>
      </c>
      <c r="B724" s="2" t="s">
        <v>4</v>
      </c>
      <c r="C724" s="3">
        <v>657.37</v>
      </c>
      <c r="D724" s="1">
        <v>740</v>
      </c>
      <c r="E724" t="s">
        <v>1853</v>
      </c>
    </row>
    <row r="725" spans="1:5" x14ac:dyDescent="0.35">
      <c r="A725" s="2" t="s">
        <v>259</v>
      </c>
      <c r="B725" s="2" t="s">
        <v>4</v>
      </c>
      <c r="C725" s="3">
        <v>516.4</v>
      </c>
      <c r="D725" s="1">
        <v>580</v>
      </c>
      <c r="E725" t="s">
        <v>1854</v>
      </c>
    </row>
    <row r="726" spans="1:5" x14ac:dyDescent="0.35">
      <c r="A726" s="2" t="s">
        <v>260</v>
      </c>
      <c r="B726" s="2" t="s">
        <v>4</v>
      </c>
      <c r="C726" s="3">
        <v>3497.72</v>
      </c>
      <c r="D726" s="1">
        <v>3920</v>
      </c>
      <c r="E726" t="s">
        <v>1855</v>
      </c>
    </row>
    <row r="727" spans="1:5" x14ac:dyDescent="0.35">
      <c r="A727" s="2" t="s">
        <v>261</v>
      </c>
      <c r="B727" s="2" t="s">
        <v>4</v>
      </c>
      <c r="C727" s="3">
        <v>11207.35</v>
      </c>
      <c r="D727" s="1">
        <v>12560</v>
      </c>
      <c r="E727" t="s">
        <v>1856</v>
      </c>
    </row>
    <row r="728" spans="1:5" x14ac:dyDescent="0.35">
      <c r="A728" s="2" t="s">
        <v>746</v>
      </c>
      <c r="B728" s="2" t="s">
        <v>374</v>
      </c>
      <c r="C728" s="3">
        <v>156.78</v>
      </c>
      <c r="D728" s="1">
        <v>180</v>
      </c>
      <c r="E728" t="s">
        <v>1857</v>
      </c>
    </row>
    <row r="729" spans="1:5" x14ac:dyDescent="0.35">
      <c r="A729" s="2" t="s">
        <v>262</v>
      </c>
      <c r="B729" s="2" t="s">
        <v>5</v>
      </c>
      <c r="C729" s="3">
        <v>303.17</v>
      </c>
      <c r="D729" s="1">
        <v>340</v>
      </c>
      <c r="E729" t="s">
        <v>1857</v>
      </c>
    </row>
    <row r="730" spans="1:5" x14ac:dyDescent="0.35">
      <c r="A730" s="2" t="s">
        <v>747</v>
      </c>
      <c r="B730" s="2" t="s">
        <v>374</v>
      </c>
      <c r="C730" s="3">
        <v>379.02</v>
      </c>
      <c r="D730" s="1">
        <v>430</v>
      </c>
      <c r="E730" t="s">
        <v>1858</v>
      </c>
    </row>
    <row r="731" spans="1:5" x14ac:dyDescent="0.35">
      <c r="A731" s="2" t="s">
        <v>747</v>
      </c>
      <c r="B731" s="2" t="s">
        <v>5</v>
      </c>
      <c r="C731" s="3">
        <v>765.56</v>
      </c>
      <c r="D731" s="1">
        <v>860</v>
      </c>
      <c r="E731" t="s">
        <v>1858</v>
      </c>
    </row>
    <row r="732" spans="1:5" x14ac:dyDescent="0.35">
      <c r="A732" s="2" t="s">
        <v>748</v>
      </c>
      <c r="B732" s="2" t="s">
        <v>376</v>
      </c>
      <c r="C732" s="3">
        <v>218.27</v>
      </c>
      <c r="D732" s="1">
        <v>250</v>
      </c>
      <c r="E732" t="s">
        <v>1858</v>
      </c>
    </row>
    <row r="733" spans="1:5" x14ac:dyDescent="0.35">
      <c r="A733" s="2" t="s">
        <v>749</v>
      </c>
      <c r="B733" s="2" t="s">
        <v>4</v>
      </c>
      <c r="C733" s="3">
        <v>1531.12</v>
      </c>
      <c r="D733" s="1">
        <v>1720</v>
      </c>
      <c r="E733" t="s">
        <v>1858</v>
      </c>
    </row>
    <row r="734" spans="1:5" x14ac:dyDescent="0.35">
      <c r="A734" s="2" t="s">
        <v>750</v>
      </c>
      <c r="B734" s="2" t="s">
        <v>374</v>
      </c>
      <c r="C734" s="3">
        <v>174.72</v>
      </c>
      <c r="D734" s="1">
        <v>200</v>
      </c>
      <c r="E734" t="s">
        <v>1859</v>
      </c>
    </row>
    <row r="735" spans="1:5" x14ac:dyDescent="0.35">
      <c r="A735" s="2" t="s">
        <v>750</v>
      </c>
      <c r="B735" s="2" t="s">
        <v>5</v>
      </c>
      <c r="C735" s="3">
        <v>338.32</v>
      </c>
      <c r="D735" s="1">
        <v>380</v>
      </c>
      <c r="E735" t="s">
        <v>1859</v>
      </c>
    </row>
    <row r="736" spans="1:5" x14ac:dyDescent="0.35">
      <c r="A736" s="2" t="s">
        <v>750</v>
      </c>
      <c r="B736" s="2" t="s">
        <v>4</v>
      </c>
      <c r="C736" s="3">
        <v>679.46</v>
      </c>
      <c r="D736" s="1">
        <v>770</v>
      </c>
      <c r="E736" t="s">
        <v>1859</v>
      </c>
    </row>
    <row r="737" spans="1:5" x14ac:dyDescent="0.35">
      <c r="A737" s="2" t="s">
        <v>263</v>
      </c>
      <c r="B737" s="2" t="s">
        <v>376</v>
      </c>
      <c r="C737" s="3">
        <v>88.73</v>
      </c>
      <c r="D737" s="1">
        <v>100</v>
      </c>
      <c r="E737" t="s">
        <v>1859</v>
      </c>
    </row>
    <row r="738" spans="1:5" x14ac:dyDescent="0.35">
      <c r="A738" s="2" t="s">
        <v>264</v>
      </c>
      <c r="B738" s="2" t="s">
        <v>374</v>
      </c>
      <c r="C738" s="3">
        <v>177.53</v>
      </c>
      <c r="D738" s="1">
        <v>200</v>
      </c>
      <c r="E738" t="s">
        <v>1860</v>
      </c>
    </row>
    <row r="739" spans="1:5" x14ac:dyDescent="0.35">
      <c r="A739" s="2" t="s">
        <v>265</v>
      </c>
      <c r="B739" s="2" t="s">
        <v>5</v>
      </c>
      <c r="C739" s="3">
        <v>343.23</v>
      </c>
      <c r="D739" s="1">
        <v>390</v>
      </c>
      <c r="E739" t="s">
        <v>1860</v>
      </c>
    </row>
    <row r="740" spans="1:5" x14ac:dyDescent="0.35">
      <c r="A740" s="2" t="s">
        <v>266</v>
      </c>
      <c r="B740" s="2" t="s">
        <v>4</v>
      </c>
      <c r="C740" s="3">
        <v>676.68</v>
      </c>
      <c r="D740" s="1">
        <v>760</v>
      </c>
      <c r="E740" t="s">
        <v>1860</v>
      </c>
    </row>
    <row r="741" spans="1:5" x14ac:dyDescent="0.35">
      <c r="A741" s="2" t="s">
        <v>267</v>
      </c>
      <c r="B741" s="2" t="s">
        <v>376</v>
      </c>
      <c r="C741" s="3">
        <v>88.77</v>
      </c>
      <c r="D741" s="1">
        <v>100</v>
      </c>
      <c r="E741" t="s">
        <v>1860</v>
      </c>
    </row>
    <row r="742" spans="1:5" x14ac:dyDescent="0.35">
      <c r="A742" s="2" t="s">
        <v>268</v>
      </c>
      <c r="B742" s="2" t="s">
        <v>376</v>
      </c>
      <c r="C742" s="3">
        <v>79.33</v>
      </c>
      <c r="D742" s="1">
        <v>90</v>
      </c>
      <c r="E742" t="s">
        <v>1861</v>
      </c>
    </row>
    <row r="743" spans="1:5" x14ac:dyDescent="0.35">
      <c r="A743" s="2" t="s">
        <v>751</v>
      </c>
      <c r="B743" s="2" t="s">
        <v>374</v>
      </c>
      <c r="C743" s="3">
        <v>158.72</v>
      </c>
      <c r="D743" s="1">
        <v>180</v>
      </c>
      <c r="E743" t="s">
        <v>1861</v>
      </c>
    </row>
    <row r="744" spans="1:5" x14ac:dyDescent="0.35">
      <c r="A744" s="2" t="s">
        <v>751</v>
      </c>
      <c r="B744" s="2" t="s">
        <v>5</v>
      </c>
      <c r="C744" s="3">
        <v>305.58999999999997</v>
      </c>
      <c r="D744" s="1">
        <v>350</v>
      </c>
      <c r="E744" t="s">
        <v>1861</v>
      </c>
    </row>
    <row r="745" spans="1:5" x14ac:dyDescent="0.35">
      <c r="A745" s="2" t="s">
        <v>751</v>
      </c>
      <c r="B745" s="2" t="s">
        <v>5</v>
      </c>
      <c r="C745" s="3">
        <v>410.75</v>
      </c>
      <c r="D745" s="1">
        <v>470</v>
      </c>
      <c r="E745" t="s">
        <v>1861</v>
      </c>
    </row>
    <row r="746" spans="1:5" x14ac:dyDescent="0.35">
      <c r="A746" s="2" t="s">
        <v>751</v>
      </c>
      <c r="B746" s="2" t="s">
        <v>4</v>
      </c>
      <c r="C746" s="3">
        <v>591.13</v>
      </c>
      <c r="D746" s="1">
        <v>670</v>
      </c>
      <c r="E746" t="s">
        <v>1861</v>
      </c>
    </row>
    <row r="747" spans="1:5" x14ac:dyDescent="0.35">
      <c r="A747" s="2" t="s">
        <v>752</v>
      </c>
      <c r="B747" s="2" t="s">
        <v>4</v>
      </c>
      <c r="C747" s="3">
        <v>2087.73</v>
      </c>
      <c r="D747" s="1">
        <v>2340</v>
      </c>
      <c r="E747" t="s">
        <v>1862</v>
      </c>
    </row>
    <row r="748" spans="1:5" x14ac:dyDescent="0.35">
      <c r="A748" s="2" t="s">
        <v>753</v>
      </c>
      <c r="B748" s="2" t="s">
        <v>4</v>
      </c>
      <c r="C748" s="3">
        <v>1439.98</v>
      </c>
      <c r="D748" s="1">
        <v>1620</v>
      </c>
      <c r="E748" t="s">
        <v>1863</v>
      </c>
    </row>
    <row r="749" spans="1:5" x14ac:dyDescent="0.35">
      <c r="A749" s="2" t="s">
        <v>754</v>
      </c>
      <c r="B749" s="2" t="s">
        <v>4</v>
      </c>
      <c r="C749" s="3">
        <v>1974.73</v>
      </c>
      <c r="D749" s="1">
        <v>2220</v>
      </c>
      <c r="E749" t="s">
        <v>1864</v>
      </c>
    </row>
    <row r="750" spans="1:5" x14ac:dyDescent="0.35">
      <c r="A750" s="2" t="s">
        <v>269</v>
      </c>
      <c r="B750" s="2" t="s">
        <v>4</v>
      </c>
      <c r="C750" s="3">
        <v>1413.12</v>
      </c>
      <c r="D750" s="1">
        <v>1590</v>
      </c>
      <c r="E750" t="s">
        <v>1865</v>
      </c>
    </row>
    <row r="751" spans="1:5" x14ac:dyDescent="0.35">
      <c r="A751" s="2" t="s">
        <v>270</v>
      </c>
      <c r="B751" s="2" t="s">
        <v>4</v>
      </c>
      <c r="C751" s="3">
        <v>1935.99</v>
      </c>
      <c r="D751" s="1">
        <v>2170</v>
      </c>
      <c r="E751" t="s">
        <v>1866</v>
      </c>
    </row>
    <row r="752" spans="1:5" x14ac:dyDescent="0.35">
      <c r="A752" s="2" t="s">
        <v>271</v>
      </c>
      <c r="B752" s="2" t="s">
        <v>4</v>
      </c>
      <c r="C752" s="3">
        <v>2774.9</v>
      </c>
      <c r="D752" s="1">
        <v>3110</v>
      </c>
      <c r="E752" t="s">
        <v>1867</v>
      </c>
    </row>
    <row r="753" spans="1:5" x14ac:dyDescent="0.35">
      <c r="A753" s="2" t="s">
        <v>755</v>
      </c>
      <c r="B753" s="2" t="s">
        <v>4</v>
      </c>
      <c r="C753" s="3">
        <v>3334.8</v>
      </c>
      <c r="D753" s="1">
        <v>3740</v>
      </c>
      <c r="E753" t="s">
        <v>1868</v>
      </c>
    </row>
    <row r="754" spans="1:5" x14ac:dyDescent="0.35">
      <c r="A754" s="2" t="s">
        <v>272</v>
      </c>
      <c r="B754" s="2" t="s">
        <v>4</v>
      </c>
      <c r="C754" s="3">
        <v>417.77</v>
      </c>
      <c r="D754" s="1">
        <v>470</v>
      </c>
      <c r="E754" t="s">
        <v>1869</v>
      </c>
    </row>
    <row r="755" spans="1:5" x14ac:dyDescent="0.35">
      <c r="A755" s="2" t="s">
        <v>756</v>
      </c>
      <c r="B755" s="2" t="s">
        <v>4</v>
      </c>
      <c r="C755" s="3">
        <v>412.05</v>
      </c>
      <c r="D755" s="1">
        <v>470</v>
      </c>
      <c r="E755" t="s">
        <v>1870</v>
      </c>
    </row>
    <row r="756" spans="1:5" x14ac:dyDescent="0.35">
      <c r="A756" s="2" t="s">
        <v>757</v>
      </c>
      <c r="B756" s="2" t="s">
        <v>4</v>
      </c>
      <c r="C756" s="3">
        <v>4752.09</v>
      </c>
      <c r="D756" s="1">
        <v>5330</v>
      </c>
      <c r="E756" t="s">
        <v>1871</v>
      </c>
    </row>
    <row r="757" spans="1:5" x14ac:dyDescent="0.35">
      <c r="A757" s="2" t="s">
        <v>273</v>
      </c>
      <c r="B757" s="2" t="s">
        <v>4</v>
      </c>
      <c r="C757" s="3">
        <v>1429.85</v>
      </c>
      <c r="D757" s="1">
        <v>1610</v>
      </c>
      <c r="E757" t="s">
        <v>1872</v>
      </c>
    </row>
    <row r="758" spans="1:5" x14ac:dyDescent="0.35">
      <c r="A758" s="2" t="s">
        <v>758</v>
      </c>
      <c r="B758" s="2" t="s">
        <v>4</v>
      </c>
      <c r="C758" s="3">
        <v>2681.59</v>
      </c>
      <c r="D758" s="1">
        <v>3010</v>
      </c>
      <c r="E758" t="s">
        <v>1873</v>
      </c>
    </row>
    <row r="759" spans="1:5" x14ac:dyDescent="0.35">
      <c r="A759" s="2" t="s">
        <v>274</v>
      </c>
      <c r="B759" s="2" t="s">
        <v>4</v>
      </c>
      <c r="C759" s="3">
        <v>1700.03</v>
      </c>
      <c r="D759" s="1">
        <v>1910</v>
      </c>
      <c r="E759" t="s">
        <v>1874</v>
      </c>
    </row>
    <row r="760" spans="1:5" x14ac:dyDescent="0.35">
      <c r="A760" s="2" t="s">
        <v>275</v>
      </c>
      <c r="B760" s="2" t="s">
        <v>4</v>
      </c>
      <c r="C760" s="3">
        <v>1590.61</v>
      </c>
      <c r="D760" s="1">
        <v>1790</v>
      </c>
      <c r="E760" t="s">
        <v>1875</v>
      </c>
    </row>
    <row r="761" spans="1:5" x14ac:dyDescent="0.35">
      <c r="A761" s="2" t="s">
        <v>759</v>
      </c>
      <c r="B761" s="2" t="s">
        <v>4</v>
      </c>
      <c r="C761" s="3">
        <v>1505.9</v>
      </c>
      <c r="D761" s="1">
        <v>1690</v>
      </c>
      <c r="E761" t="s">
        <v>1876</v>
      </c>
    </row>
    <row r="762" spans="1:5" x14ac:dyDescent="0.35">
      <c r="A762" s="2" t="s">
        <v>760</v>
      </c>
      <c r="B762" s="2" t="s">
        <v>4</v>
      </c>
      <c r="C762" s="3">
        <v>1548.51</v>
      </c>
      <c r="D762" s="1">
        <v>1740</v>
      </c>
      <c r="E762" t="s">
        <v>1877</v>
      </c>
    </row>
    <row r="763" spans="1:5" x14ac:dyDescent="0.35">
      <c r="A763" s="2" t="s">
        <v>761</v>
      </c>
      <c r="B763" s="2" t="s">
        <v>4</v>
      </c>
      <c r="C763" s="3">
        <v>1841.88</v>
      </c>
      <c r="D763" s="1">
        <v>2070</v>
      </c>
      <c r="E763" t="s">
        <v>1878</v>
      </c>
    </row>
    <row r="764" spans="1:5" x14ac:dyDescent="0.35">
      <c r="A764" s="2" t="s">
        <v>762</v>
      </c>
      <c r="B764" s="2" t="s">
        <v>4</v>
      </c>
      <c r="C764" s="3">
        <v>1412.09</v>
      </c>
      <c r="D764" s="1">
        <v>1590</v>
      </c>
      <c r="E764" t="s">
        <v>1879</v>
      </c>
    </row>
    <row r="765" spans="1:5" x14ac:dyDescent="0.35">
      <c r="A765" s="2" t="s">
        <v>763</v>
      </c>
      <c r="B765" s="2" t="s">
        <v>4</v>
      </c>
      <c r="C765" s="3">
        <v>1960</v>
      </c>
      <c r="D765" s="1">
        <v>2200</v>
      </c>
      <c r="E765" t="s">
        <v>1880</v>
      </c>
    </row>
    <row r="766" spans="1:5" x14ac:dyDescent="0.35">
      <c r="A766" s="2" t="s">
        <v>764</v>
      </c>
      <c r="B766" s="2" t="s">
        <v>374</v>
      </c>
      <c r="C766" s="3">
        <v>234.58</v>
      </c>
      <c r="D766" s="1">
        <v>270</v>
      </c>
      <c r="E766" t="s">
        <v>1881</v>
      </c>
    </row>
    <row r="767" spans="1:5" x14ac:dyDescent="0.35">
      <c r="A767" s="2" t="s">
        <v>765</v>
      </c>
      <c r="B767" s="2" t="s">
        <v>376</v>
      </c>
      <c r="C767" s="3">
        <v>117.29</v>
      </c>
      <c r="D767" s="1">
        <v>140</v>
      </c>
      <c r="E767" t="s">
        <v>1881</v>
      </c>
    </row>
    <row r="768" spans="1:5" x14ac:dyDescent="0.35">
      <c r="A768" s="2" t="s">
        <v>276</v>
      </c>
      <c r="B768" s="2" t="s">
        <v>4</v>
      </c>
      <c r="C768" s="3">
        <v>3306.8</v>
      </c>
      <c r="D768" s="1">
        <v>3710</v>
      </c>
      <c r="E768" t="s">
        <v>1882</v>
      </c>
    </row>
    <row r="769" spans="1:5" x14ac:dyDescent="0.35">
      <c r="A769" s="2" t="s">
        <v>766</v>
      </c>
      <c r="B769" s="2" t="s">
        <v>4</v>
      </c>
      <c r="C769" s="3">
        <v>1234.31</v>
      </c>
      <c r="D769" s="1">
        <v>1390</v>
      </c>
      <c r="E769" t="s">
        <v>1883</v>
      </c>
    </row>
    <row r="770" spans="1:5" x14ac:dyDescent="0.35">
      <c r="A770" s="2" t="s">
        <v>767</v>
      </c>
      <c r="B770" s="2" t="s">
        <v>375</v>
      </c>
      <c r="C770" s="3">
        <v>167.81</v>
      </c>
      <c r="D770" s="1">
        <v>190</v>
      </c>
      <c r="E770" t="s">
        <v>1884</v>
      </c>
    </row>
    <row r="771" spans="1:5" x14ac:dyDescent="0.35">
      <c r="A771" s="2" t="s">
        <v>277</v>
      </c>
      <c r="B771" s="2" t="s">
        <v>4</v>
      </c>
      <c r="C771" s="3">
        <v>442.64</v>
      </c>
      <c r="D771" s="1">
        <v>500</v>
      </c>
      <c r="E771" t="s">
        <v>1885</v>
      </c>
    </row>
    <row r="772" spans="1:5" x14ac:dyDescent="0.35">
      <c r="A772" s="2" t="s">
        <v>768</v>
      </c>
      <c r="B772" s="2" t="s">
        <v>374</v>
      </c>
      <c r="C772" s="3">
        <v>205.95</v>
      </c>
      <c r="D772" s="1">
        <v>240</v>
      </c>
      <c r="E772" t="s">
        <v>1886</v>
      </c>
    </row>
    <row r="773" spans="1:5" x14ac:dyDescent="0.35">
      <c r="A773" s="2" t="s">
        <v>768</v>
      </c>
      <c r="B773" s="2" t="s">
        <v>5</v>
      </c>
      <c r="C773" s="3">
        <v>419.83</v>
      </c>
      <c r="D773" s="1">
        <v>480</v>
      </c>
      <c r="E773" t="s">
        <v>1886</v>
      </c>
    </row>
    <row r="774" spans="1:5" x14ac:dyDescent="0.35">
      <c r="A774" s="2" t="s">
        <v>768</v>
      </c>
      <c r="B774" s="2" t="s">
        <v>4</v>
      </c>
      <c r="C774" s="3">
        <v>819.94</v>
      </c>
      <c r="D774" s="1">
        <v>920</v>
      </c>
      <c r="E774" t="s">
        <v>1886</v>
      </c>
    </row>
    <row r="775" spans="1:5" x14ac:dyDescent="0.35">
      <c r="A775" s="2" t="s">
        <v>278</v>
      </c>
      <c r="B775" s="2" t="s">
        <v>376</v>
      </c>
      <c r="C775" s="3">
        <v>109.02</v>
      </c>
      <c r="D775" s="1">
        <v>130</v>
      </c>
      <c r="E775" t="s">
        <v>1886</v>
      </c>
    </row>
    <row r="776" spans="1:5" x14ac:dyDescent="0.35">
      <c r="A776" s="2" t="s">
        <v>769</v>
      </c>
      <c r="B776" s="2" t="s">
        <v>374</v>
      </c>
      <c r="C776" s="3">
        <v>187.29</v>
      </c>
      <c r="D776" s="1">
        <v>210</v>
      </c>
      <c r="E776" t="s">
        <v>1887</v>
      </c>
    </row>
    <row r="777" spans="1:5" x14ac:dyDescent="0.35">
      <c r="A777" s="2" t="s">
        <v>769</v>
      </c>
      <c r="B777" s="2" t="s">
        <v>5</v>
      </c>
      <c r="C777" s="3">
        <v>362.67</v>
      </c>
      <c r="D777" s="1">
        <v>410</v>
      </c>
      <c r="E777" t="s">
        <v>1887</v>
      </c>
    </row>
    <row r="778" spans="1:5" x14ac:dyDescent="0.35">
      <c r="A778" s="2" t="s">
        <v>769</v>
      </c>
      <c r="B778" s="2" t="s">
        <v>4</v>
      </c>
      <c r="C778" s="3">
        <v>706.1</v>
      </c>
      <c r="D778" s="1">
        <v>800</v>
      </c>
      <c r="E778" t="s">
        <v>1887</v>
      </c>
    </row>
    <row r="779" spans="1:5" x14ac:dyDescent="0.35">
      <c r="A779" s="2" t="s">
        <v>770</v>
      </c>
      <c r="B779" s="2" t="s">
        <v>374</v>
      </c>
      <c r="C779" s="3">
        <v>158.34</v>
      </c>
      <c r="D779" s="1">
        <v>180</v>
      </c>
      <c r="E779" t="s">
        <v>1888</v>
      </c>
    </row>
    <row r="780" spans="1:5" x14ac:dyDescent="0.35">
      <c r="A780" s="2" t="s">
        <v>771</v>
      </c>
      <c r="B780" s="2" t="s">
        <v>5</v>
      </c>
      <c r="C780" s="3">
        <v>314.87</v>
      </c>
      <c r="D780" s="1">
        <v>360</v>
      </c>
      <c r="E780" t="s">
        <v>1888</v>
      </c>
    </row>
    <row r="781" spans="1:5" x14ac:dyDescent="0.35">
      <c r="A781" s="2" t="s">
        <v>772</v>
      </c>
      <c r="B781" s="2" t="s">
        <v>374</v>
      </c>
      <c r="C781" s="3">
        <v>359.84</v>
      </c>
      <c r="D781" s="1">
        <v>410</v>
      </c>
      <c r="E781" t="s">
        <v>1889</v>
      </c>
    </row>
    <row r="782" spans="1:5" x14ac:dyDescent="0.35">
      <c r="A782" s="2" t="s">
        <v>772</v>
      </c>
      <c r="B782" s="2" t="s">
        <v>5</v>
      </c>
      <c r="C782" s="3">
        <v>727.16</v>
      </c>
      <c r="D782" s="1">
        <v>820</v>
      </c>
      <c r="E782" t="s">
        <v>1889</v>
      </c>
    </row>
    <row r="783" spans="1:5" x14ac:dyDescent="0.35">
      <c r="A783" s="2" t="s">
        <v>773</v>
      </c>
      <c r="B783" s="2" t="s">
        <v>4</v>
      </c>
      <c r="C783" s="3">
        <v>1444.32</v>
      </c>
      <c r="D783" s="1">
        <v>1620</v>
      </c>
      <c r="E783" t="s">
        <v>1889</v>
      </c>
    </row>
    <row r="784" spans="1:5" x14ac:dyDescent="0.35">
      <c r="A784" s="2" t="s">
        <v>774</v>
      </c>
      <c r="B784" s="2" t="s">
        <v>4</v>
      </c>
      <c r="C784" s="3">
        <v>2156.2600000000002</v>
      </c>
      <c r="D784" s="1">
        <v>2420</v>
      </c>
      <c r="E784" t="s">
        <v>1890</v>
      </c>
    </row>
    <row r="785" spans="1:5" x14ac:dyDescent="0.35">
      <c r="A785" s="2" t="s">
        <v>775</v>
      </c>
      <c r="B785" s="2" t="s">
        <v>4</v>
      </c>
      <c r="C785" s="3">
        <v>2433.56</v>
      </c>
      <c r="D785" s="1">
        <v>2730</v>
      </c>
      <c r="E785" t="s">
        <v>1891</v>
      </c>
    </row>
    <row r="786" spans="1:5" x14ac:dyDescent="0.35">
      <c r="A786" s="2" t="s">
        <v>279</v>
      </c>
      <c r="B786" s="2" t="s">
        <v>4</v>
      </c>
      <c r="C786" s="3">
        <v>3771.13</v>
      </c>
      <c r="D786" s="1">
        <v>4230</v>
      </c>
      <c r="E786" t="s">
        <v>1892</v>
      </c>
    </row>
    <row r="787" spans="1:5" x14ac:dyDescent="0.35">
      <c r="A787" s="2" t="s">
        <v>776</v>
      </c>
      <c r="B787" s="2" t="s">
        <v>375</v>
      </c>
      <c r="C787" s="3">
        <v>577.75</v>
      </c>
      <c r="D787" s="1">
        <v>650</v>
      </c>
      <c r="E787" t="s">
        <v>1893</v>
      </c>
    </row>
    <row r="788" spans="1:5" x14ac:dyDescent="0.35">
      <c r="A788" s="2" t="s">
        <v>777</v>
      </c>
      <c r="B788" s="2" t="s">
        <v>4</v>
      </c>
      <c r="C788" s="3">
        <v>1538.2</v>
      </c>
      <c r="D788" s="1">
        <v>1730</v>
      </c>
      <c r="E788" t="s">
        <v>1894</v>
      </c>
    </row>
    <row r="789" spans="1:5" x14ac:dyDescent="0.35">
      <c r="A789" s="2" t="s">
        <v>280</v>
      </c>
      <c r="B789" s="2" t="s">
        <v>374</v>
      </c>
      <c r="C789" s="3">
        <v>215.84</v>
      </c>
      <c r="D789" s="1">
        <v>250</v>
      </c>
      <c r="E789" t="s">
        <v>1895</v>
      </c>
    </row>
    <row r="790" spans="1:5" x14ac:dyDescent="0.35">
      <c r="A790" s="2" t="s">
        <v>778</v>
      </c>
      <c r="B790" s="2" t="s">
        <v>5</v>
      </c>
      <c r="C790" s="3">
        <v>419.77</v>
      </c>
      <c r="D790" s="1">
        <v>480</v>
      </c>
      <c r="E790" t="s">
        <v>1895</v>
      </c>
    </row>
    <row r="791" spans="1:5" x14ac:dyDescent="0.35">
      <c r="A791" s="2" t="s">
        <v>281</v>
      </c>
      <c r="B791" s="2" t="s">
        <v>4</v>
      </c>
      <c r="C791" s="3">
        <v>819.15</v>
      </c>
      <c r="D791" s="1">
        <v>920</v>
      </c>
      <c r="E791" t="s">
        <v>1895</v>
      </c>
    </row>
    <row r="792" spans="1:5" x14ac:dyDescent="0.35">
      <c r="A792" s="2" t="s">
        <v>282</v>
      </c>
      <c r="B792" s="2" t="s">
        <v>374</v>
      </c>
      <c r="C792" s="3">
        <v>177.42</v>
      </c>
      <c r="D792" s="1">
        <v>200</v>
      </c>
      <c r="E792" t="s">
        <v>1896</v>
      </c>
    </row>
    <row r="793" spans="1:5" x14ac:dyDescent="0.35">
      <c r="A793" s="2" t="s">
        <v>283</v>
      </c>
      <c r="B793" s="2" t="s">
        <v>5</v>
      </c>
      <c r="C793" s="3">
        <v>352.83</v>
      </c>
      <c r="D793" s="1">
        <v>400</v>
      </c>
      <c r="E793" t="s">
        <v>1896</v>
      </c>
    </row>
    <row r="794" spans="1:5" x14ac:dyDescent="0.35">
      <c r="A794" s="2" t="s">
        <v>284</v>
      </c>
      <c r="B794" s="2" t="s">
        <v>4</v>
      </c>
      <c r="C794" s="3">
        <v>685.91</v>
      </c>
      <c r="D794" s="1">
        <v>770</v>
      </c>
      <c r="E794" t="s">
        <v>1896</v>
      </c>
    </row>
    <row r="795" spans="1:5" x14ac:dyDescent="0.35">
      <c r="A795" s="2" t="s">
        <v>285</v>
      </c>
      <c r="B795" s="2" t="s">
        <v>4</v>
      </c>
      <c r="C795" s="3">
        <v>1823.34</v>
      </c>
      <c r="D795" s="1">
        <v>2050</v>
      </c>
      <c r="E795" t="s">
        <v>1897</v>
      </c>
    </row>
    <row r="796" spans="1:5" x14ac:dyDescent="0.35">
      <c r="A796" s="2" t="s">
        <v>779</v>
      </c>
      <c r="B796" s="2" t="s">
        <v>374</v>
      </c>
      <c r="C796" s="3">
        <v>129.99</v>
      </c>
      <c r="D796" s="1">
        <v>150</v>
      </c>
      <c r="E796" t="s">
        <v>1898</v>
      </c>
    </row>
    <row r="797" spans="1:5" x14ac:dyDescent="0.35">
      <c r="A797" s="2" t="s">
        <v>779</v>
      </c>
      <c r="B797" s="2" t="s">
        <v>5</v>
      </c>
      <c r="C797" s="3">
        <v>268.45999999999998</v>
      </c>
      <c r="D797" s="1">
        <v>310</v>
      </c>
      <c r="E797" t="s">
        <v>1898</v>
      </c>
    </row>
    <row r="798" spans="1:5" x14ac:dyDescent="0.35">
      <c r="A798" s="2" t="s">
        <v>779</v>
      </c>
      <c r="B798" s="2" t="s">
        <v>4</v>
      </c>
      <c r="C798" s="3">
        <v>521.49</v>
      </c>
      <c r="D798" s="1">
        <v>590</v>
      </c>
      <c r="E798" t="s">
        <v>1898</v>
      </c>
    </row>
    <row r="799" spans="1:5" x14ac:dyDescent="0.35">
      <c r="A799" s="2" t="s">
        <v>780</v>
      </c>
      <c r="B799" s="2" t="s">
        <v>374</v>
      </c>
      <c r="C799" s="3">
        <v>158.37</v>
      </c>
      <c r="D799" s="1">
        <v>180</v>
      </c>
      <c r="E799" t="s">
        <v>1899</v>
      </c>
    </row>
    <row r="800" spans="1:5" x14ac:dyDescent="0.35">
      <c r="A800" s="2" t="s">
        <v>780</v>
      </c>
      <c r="B800" s="2" t="s">
        <v>5</v>
      </c>
      <c r="C800" s="3">
        <v>315.01</v>
      </c>
      <c r="D800" s="1">
        <v>360</v>
      </c>
      <c r="E800" t="s">
        <v>1899</v>
      </c>
    </row>
    <row r="801" spans="1:5" x14ac:dyDescent="0.35">
      <c r="A801" s="2" t="s">
        <v>780</v>
      </c>
      <c r="B801" s="2" t="s">
        <v>4</v>
      </c>
      <c r="C801" s="3">
        <v>619.79999999999995</v>
      </c>
      <c r="D801" s="1">
        <v>700</v>
      </c>
      <c r="E801" t="s">
        <v>1899</v>
      </c>
    </row>
    <row r="802" spans="1:5" x14ac:dyDescent="0.35">
      <c r="A802" s="2" t="s">
        <v>781</v>
      </c>
      <c r="B802" s="2" t="s">
        <v>4</v>
      </c>
      <c r="C802" s="3">
        <v>3763.59</v>
      </c>
      <c r="D802" s="1">
        <v>4220</v>
      </c>
      <c r="E802" t="s">
        <v>1900</v>
      </c>
    </row>
    <row r="803" spans="1:5" x14ac:dyDescent="0.35">
      <c r="A803" s="2" t="s">
        <v>286</v>
      </c>
      <c r="B803" s="2" t="s">
        <v>4</v>
      </c>
      <c r="C803" s="3">
        <v>1059.1500000000001</v>
      </c>
      <c r="D803" s="1">
        <v>1190</v>
      </c>
      <c r="E803" t="s">
        <v>1901</v>
      </c>
    </row>
    <row r="804" spans="1:5" x14ac:dyDescent="0.35">
      <c r="A804" s="2" t="s">
        <v>782</v>
      </c>
      <c r="B804" s="2" t="s">
        <v>374</v>
      </c>
      <c r="C804" s="3">
        <v>433.69</v>
      </c>
      <c r="D804" s="1">
        <v>490</v>
      </c>
      <c r="E804" t="s">
        <v>1902</v>
      </c>
    </row>
    <row r="805" spans="1:5" x14ac:dyDescent="0.35">
      <c r="A805" s="2" t="s">
        <v>783</v>
      </c>
      <c r="B805" s="2" t="s">
        <v>374</v>
      </c>
      <c r="C805" s="3">
        <v>102.7</v>
      </c>
      <c r="D805" s="1">
        <v>120</v>
      </c>
      <c r="E805" t="s">
        <v>1903</v>
      </c>
    </row>
    <row r="806" spans="1:5" x14ac:dyDescent="0.35">
      <c r="A806" s="2" t="s">
        <v>287</v>
      </c>
      <c r="B806" s="2" t="s">
        <v>374</v>
      </c>
      <c r="C806" s="3">
        <v>102.7</v>
      </c>
      <c r="D806" s="1">
        <v>120</v>
      </c>
      <c r="E806" t="s">
        <v>1904</v>
      </c>
    </row>
    <row r="807" spans="1:5" x14ac:dyDescent="0.35">
      <c r="A807" s="2" t="s">
        <v>784</v>
      </c>
      <c r="B807" s="2" t="s">
        <v>374</v>
      </c>
      <c r="C807" s="3">
        <v>121.2</v>
      </c>
      <c r="D807" s="1">
        <v>140</v>
      </c>
      <c r="E807" t="s">
        <v>1905</v>
      </c>
    </row>
    <row r="808" spans="1:5" x14ac:dyDescent="0.35">
      <c r="A808" s="2" t="s">
        <v>785</v>
      </c>
      <c r="B808" s="2" t="s">
        <v>5</v>
      </c>
      <c r="C808" s="3">
        <v>250.09</v>
      </c>
      <c r="D808" s="1">
        <v>290</v>
      </c>
      <c r="E808" t="s">
        <v>1905</v>
      </c>
    </row>
    <row r="809" spans="1:5" x14ac:dyDescent="0.35">
      <c r="A809" s="2" t="s">
        <v>786</v>
      </c>
      <c r="B809" s="2" t="s">
        <v>4</v>
      </c>
      <c r="C809" s="3">
        <v>480.42</v>
      </c>
      <c r="D809" s="1">
        <v>540</v>
      </c>
      <c r="E809" t="s">
        <v>1905</v>
      </c>
    </row>
    <row r="810" spans="1:5" x14ac:dyDescent="0.35">
      <c r="A810" s="2" t="s">
        <v>787</v>
      </c>
      <c r="B810" s="2" t="s">
        <v>4</v>
      </c>
      <c r="C810" s="3">
        <v>4737.46</v>
      </c>
      <c r="D810" s="1">
        <v>5310</v>
      </c>
      <c r="E810" t="s">
        <v>1906</v>
      </c>
    </row>
    <row r="811" spans="1:5" x14ac:dyDescent="0.35">
      <c r="A811" s="2" t="s">
        <v>788</v>
      </c>
      <c r="B811" s="2" t="s">
        <v>374</v>
      </c>
      <c r="C811" s="3">
        <v>168.01</v>
      </c>
      <c r="D811" s="1">
        <v>190</v>
      </c>
      <c r="E811" t="s">
        <v>1907</v>
      </c>
    </row>
    <row r="812" spans="1:5" x14ac:dyDescent="0.35">
      <c r="A812" s="2" t="s">
        <v>789</v>
      </c>
      <c r="B812" s="2" t="s">
        <v>5</v>
      </c>
      <c r="C812" s="3">
        <v>325.01</v>
      </c>
      <c r="D812" s="1">
        <v>370</v>
      </c>
      <c r="E812" t="s">
        <v>1907</v>
      </c>
    </row>
    <row r="813" spans="1:5" x14ac:dyDescent="0.35">
      <c r="A813" s="2" t="s">
        <v>790</v>
      </c>
      <c r="B813" s="2" t="s">
        <v>4</v>
      </c>
      <c r="C813" s="3">
        <v>638.37</v>
      </c>
      <c r="D813" s="1">
        <v>720</v>
      </c>
      <c r="E813" t="s">
        <v>1907</v>
      </c>
    </row>
    <row r="814" spans="1:5" x14ac:dyDescent="0.35">
      <c r="A814" s="2" t="s">
        <v>791</v>
      </c>
      <c r="B814" s="2" t="s">
        <v>374</v>
      </c>
      <c r="C814" s="3">
        <v>168.14</v>
      </c>
      <c r="D814" s="1">
        <v>190</v>
      </c>
      <c r="E814" t="s">
        <v>1908</v>
      </c>
    </row>
    <row r="815" spans="1:5" x14ac:dyDescent="0.35">
      <c r="A815" s="2" t="s">
        <v>792</v>
      </c>
      <c r="B815" s="2" t="s">
        <v>4</v>
      </c>
      <c r="C815" s="3">
        <v>628.91</v>
      </c>
      <c r="D815" s="1">
        <v>710</v>
      </c>
      <c r="E815" t="s">
        <v>1908</v>
      </c>
    </row>
    <row r="816" spans="1:5" x14ac:dyDescent="0.35">
      <c r="A816" s="2" t="s">
        <v>949</v>
      </c>
      <c r="B816" s="2" t="s">
        <v>374</v>
      </c>
      <c r="C816" s="3">
        <v>206.76</v>
      </c>
      <c r="D816" s="1">
        <v>240</v>
      </c>
      <c r="E816" t="s">
        <v>1909</v>
      </c>
    </row>
    <row r="817" spans="1:5" x14ac:dyDescent="0.35">
      <c r="A817" s="2" t="s">
        <v>949</v>
      </c>
      <c r="B817" s="2" t="s">
        <v>5</v>
      </c>
      <c r="C817" s="3">
        <v>421.93</v>
      </c>
      <c r="D817" s="1">
        <v>480</v>
      </c>
      <c r="E817" t="s">
        <v>1909</v>
      </c>
    </row>
    <row r="818" spans="1:5" x14ac:dyDescent="0.35">
      <c r="A818" s="2" t="s">
        <v>949</v>
      </c>
      <c r="B818" s="2" t="s">
        <v>4</v>
      </c>
      <c r="C818" s="3">
        <v>819.5</v>
      </c>
      <c r="D818" s="1">
        <v>920</v>
      </c>
      <c r="E818" t="s">
        <v>1909</v>
      </c>
    </row>
    <row r="819" spans="1:5" x14ac:dyDescent="0.35">
      <c r="A819" s="2" t="s">
        <v>793</v>
      </c>
      <c r="B819" s="2" t="s">
        <v>374</v>
      </c>
      <c r="C819" s="3">
        <v>168.57</v>
      </c>
      <c r="D819" s="1">
        <v>190</v>
      </c>
      <c r="E819" t="s">
        <v>1910</v>
      </c>
    </row>
    <row r="820" spans="1:5" x14ac:dyDescent="0.35">
      <c r="A820" s="2" t="s">
        <v>794</v>
      </c>
      <c r="B820" s="2" t="s">
        <v>4</v>
      </c>
      <c r="C820" s="3">
        <v>3077.98</v>
      </c>
      <c r="D820" s="1">
        <v>3450</v>
      </c>
      <c r="E820" t="s">
        <v>1911</v>
      </c>
    </row>
    <row r="821" spans="1:5" x14ac:dyDescent="0.35">
      <c r="A821" s="2" t="s">
        <v>288</v>
      </c>
      <c r="B821" s="2" t="s">
        <v>4</v>
      </c>
      <c r="C821" s="3">
        <v>2871.26</v>
      </c>
      <c r="D821" s="1">
        <v>3220</v>
      </c>
      <c r="E821" t="s">
        <v>1911</v>
      </c>
    </row>
    <row r="822" spans="1:5" x14ac:dyDescent="0.35">
      <c r="A822" s="2" t="s">
        <v>795</v>
      </c>
      <c r="B822" s="2" t="s">
        <v>4</v>
      </c>
      <c r="C822" s="3">
        <v>1190.6400000000001</v>
      </c>
      <c r="D822" s="1">
        <v>1340</v>
      </c>
      <c r="E822" t="s">
        <v>1912</v>
      </c>
    </row>
    <row r="823" spans="1:5" x14ac:dyDescent="0.35">
      <c r="A823" s="2" t="s">
        <v>796</v>
      </c>
      <c r="B823" s="2" t="s">
        <v>4</v>
      </c>
      <c r="C823" s="3">
        <v>746.28</v>
      </c>
      <c r="D823" s="1">
        <v>840</v>
      </c>
      <c r="E823" t="s">
        <v>1913</v>
      </c>
    </row>
    <row r="824" spans="1:5" x14ac:dyDescent="0.35">
      <c r="A824" s="2" t="s">
        <v>289</v>
      </c>
      <c r="B824" s="2" t="s">
        <v>4</v>
      </c>
      <c r="C824" s="3">
        <v>1111.1099999999999</v>
      </c>
      <c r="D824" s="1">
        <v>1250</v>
      </c>
      <c r="E824" t="s">
        <v>1914</v>
      </c>
    </row>
    <row r="825" spans="1:5" x14ac:dyDescent="0.35">
      <c r="A825" s="2" t="s">
        <v>797</v>
      </c>
      <c r="B825" s="2" t="s">
        <v>4</v>
      </c>
      <c r="C825" s="3">
        <v>1085.6199999999999</v>
      </c>
      <c r="D825" s="1">
        <v>1220</v>
      </c>
      <c r="E825" t="s">
        <v>1915</v>
      </c>
    </row>
    <row r="826" spans="1:5" x14ac:dyDescent="0.35">
      <c r="A826" s="2" t="s">
        <v>798</v>
      </c>
      <c r="B826" s="2" t="s">
        <v>4</v>
      </c>
      <c r="C826" s="3">
        <v>545.85</v>
      </c>
      <c r="D826" s="1">
        <v>620</v>
      </c>
      <c r="E826" t="s">
        <v>1916</v>
      </c>
    </row>
    <row r="827" spans="1:5" x14ac:dyDescent="0.35">
      <c r="A827" s="2" t="s">
        <v>799</v>
      </c>
      <c r="B827" s="2" t="s">
        <v>5</v>
      </c>
      <c r="C827" s="3">
        <v>387.6</v>
      </c>
      <c r="D827" s="1">
        <v>440</v>
      </c>
      <c r="E827" t="s">
        <v>1917</v>
      </c>
    </row>
    <row r="828" spans="1:5" x14ac:dyDescent="0.35">
      <c r="A828" s="2" t="s">
        <v>800</v>
      </c>
      <c r="B828" s="2" t="s">
        <v>4</v>
      </c>
      <c r="C828" s="3">
        <v>755.45</v>
      </c>
      <c r="D828" s="1">
        <v>850</v>
      </c>
      <c r="E828" t="s">
        <v>1917</v>
      </c>
    </row>
    <row r="829" spans="1:5" x14ac:dyDescent="0.35">
      <c r="A829" s="2" t="s">
        <v>801</v>
      </c>
      <c r="B829" s="2" t="s">
        <v>4</v>
      </c>
      <c r="C829" s="3">
        <v>703.85</v>
      </c>
      <c r="D829" s="1">
        <v>790</v>
      </c>
      <c r="E829" t="s">
        <v>1918</v>
      </c>
    </row>
    <row r="830" spans="1:5" x14ac:dyDescent="0.35">
      <c r="A830" s="2" t="s">
        <v>802</v>
      </c>
      <c r="B830" s="2" t="s">
        <v>4</v>
      </c>
      <c r="C830" s="3">
        <v>777.44</v>
      </c>
      <c r="D830" s="1">
        <v>880</v>
      </c>
      <c r="E830" t="s">
        <v>1919</v>
      </c>
    </row>
    <row r="831" spans="1:5" x14ac:dyDescent="0.35">
      <c r="A831" s="2" t="s">
        <v>290</v>
      </c>
      <c r="B831" s="2" t="s">
        <v>4</v>
      </c>
      <c r="C831" s="3">
        <v>1384.82</v>
      </c>
      <c r="D831" s="1">
        <v>1560</v>
      </c>
      <c r="E831" t="s">
        <v>1920</v>
      </c>
    </row>
    <row r="832" spans="1:5" x14ac:dyDescent="0.35">
      <c r="A832" s="2" t="s">
        <v>803</v>
      </c>
      <c r="B832" s="2" t="s">
        <v>4</v>
      </c>
      <c r="C832" s="3">
        <v>698.31</v>
      </c>
      <c r="D832" s="1">
        <v>790</v>
      </c>
      <c r="E832" t="s">
        <v>1921</v>
      </c>
    </row>
    <row r="833" spans="1:5" x14ac:dyDescent="0.35">
      <c r="A833" s="2" t="s">
        <v>804</v>
      </c>
      <c r="B833" s="2" t="s">
        <v>4</v>
      </c>
      <c r="C833" s="3">
        <v>928.58</v>
      </c>
      <c r="D833" s="1">
        <v>1050</v>
      </c>
      <c r="E833" t="s">
        <v>1922</v>
      </c>
    </row>
    <row r="834" spans="1:5" x14ac:dyDescent="0.35">
      <c r="A834" s="2" t="s">
        <v>805</v>
      </c>
      <c r="B834" s="2" t="s">
        <v>5</v>
      </c>
      <c r="C834" s="3">
        <v>391.4</v>
      </c>
      <c r="D834" s="1">
        <v>440</v>
      </c>
      <c r="E834" t="s">
        <v>1923</v>
      </c>
    </row>
    <row r="835" spans="1:5" x14ac:dyDescent="0.35">
      <c r="A835" s="2" t="s">
        <v>806</v>
      </c>
      <c r="B835" s="2" t="s">
        <v>4</v>
      </c>
      <c r="C835" s="3">
        <v>782.74</v>
      </c>
      <c r="D835" s="1">
        <v>880</v>
      </c>
      <c r="E835" t="s">
        <v>1923</v>
      </c>
    </row>
    <row r="836" spans="1:5" x14ac:dyDescent="0.35">
      <c r="A836" s="2" t="s">
        <v>807</v>
      </c>
      <c r="B836" s="2" t="s">
        <v>5</v>
      </c>
      <c r="C836" s="3">
        <v>359.91</v>
      </c>
      <c r="D836" s="1">
        <v>410</v>
      </c>
      <c r="E836" t="s">
        <v>1924</v>
      </c>
    </row>
    <row r="837" spans="1:5" x14ac:dyDescent="0.35">
      <c r="A837" s="2" t="s">
        <v>808</v>
      </c>
      <c r="B837" s="2" t="s">
        <v>4</v>
      </c>
      <c r="C837" s="3">
        <v>709.59</v>
      </c>
      <c r="D837" s="1">
        <v>800</v>
      </c>
      <c r="E837" t="s">
        <v>1924</v>
      </c>
    </row>
    <row r="838" spans="1:5" x14ac:dyDescent="0.35">
      <c r="A838" s="2" t="s">
        <v>809</v>
      </c>
      <c r="B838" s="2" t="s">
        <v>4</v>
      </c>
      <c r="C838" s="3">
        <v>582.36</v>
      </c>
      <c r="D838" s="1">
        <v>660</v>
      </c>
      <c r="E838" t="s">
        <v>1925</v>
      </c>
    </row>
    <row r="839" spans="1:5" x14ac:dyDescent="0.35">
      <c r="A839" s="2" t="s">
        <v>291</v>
      </c>
      <c r="B839" s="2" t="s">
        <v>4</v>
      </c>
      <c r="C839" s="3">
        <v>663.46</v>
      </c>
      <c r="D839" s="1">
        <v>750</v>
      </c>
      <c r="E839" t="s">
        <v>1926</v>
      </c>
    </row>
    <row r="840" spans="1:5" x14ac:dyDescent="0.35">
      <c r="A840" s="2" t="s">
        <v>292</v>
      </c>
      <c r="B840" s="2" t="s">
        <v>4</v>
      </c>
      <c r="C840" s="3">
        <v>579.45000000000005</v>
      </c>
      <c r="D840" s="1">
        <v>650</v>
      </c>
      <c r="E840" t="s">
        <v>1927</v>
      </c>
    </row>
    <row r="841" spans="1:5" x14ac:dyDescent="0.35">
      <c r="A841" s="2" t="s">
        <v>293</v>
      </c>
      <c r="B841" s="2" t="s">
        <v>4</v>
      </c>
      <c r="C841" s="3">
        <v>3291.31</v>
      </c>
      <c r="D841" s="1">
        <v>3690</v>
      </c>
      <c r="E841" t="s">
        <v>1928</v>
      </c>
    </row>
    <row r="842" spans="1:5" x14ac:dyDescent="0.35">
      <c r="A842" s="2" t="s">
        <v>294</v>
      </c>
      <c r="B842" s="2" t="s">
        <v>4</v>
      </c>
      <c r="C842" s="3">
        <v>5657.37</v>
      </c>
      <c r="D842" s="1">
        <v>6340</v>
      </c>
      <c r="E842" t="s">
        <v>1929</v>
      </c>
    </row>
    <row r="843" spans="1:5" x14ac:dyDescent="0.35">
      <c r="A843" s="2" t="s">
        <v>295</v>
      </c>
      <c r="B843" s="2" t="s">
        <v>4</v>
      </c>
      <c r="C843" s="3">
        <v>4247.92</v>
      </c>
      <c r="D843" s="1">
        <v>4760</v>
      </c>
      <c r="E843" t="s">
        <v>1930</v>
      </c>
    </row>
    <row r="844" spans="1:5" x14ac:dyDescent="0.35">
      <c r="A844" s="2" t="s">
        <v>950</v>
      </c>
      <c r="B844" s="2" t="s">
        <v>4</v>
      </c>
      <c r="C844" s="3">
        <v>1630.68</v>
      </c>
      <c r="D844" s="1">
        <v>1830</v>
      </c>
      <c r="E844" t="s">
        <v>1276</v>
      </c>
    </row>
    <row r="845" spans="1:5" x14ac:dyDescent="0.35">
      <c r="A845" s="2" t="s">
        <v>810</v>
      </c>
      <c r="B845" s="2" t="s">
        <v>4</v>
      </c>
      <c r="C845" s="3">
        <v>2581</v>
      </c>
      <c r="D845" s="1">
        <v>2900</v>
      </c>
      <c r="E845" t="s">
        <v>1931</v>
      </c>
    </row>
    <row r="846" spans="1:5" x14ac:dyDescent="0.35">
      <c r="A846" s="2" t="s">
        <v>296</v>
      </c>
      <c r="B846" s="2" t="s">
        <v>4</v>
      </c>
      <c r="C846" s="3">
        <v>3527.56</v>
      </c>
      <c r="D846" s="1">
        <v>3960</v>
      </c>
      <c r="E846" t="s">
        <v>1932</v>
      </c>
    </row>
    <row r="847" spans="1:5" x14ac:dyDescent="0.35">
      <c r="A847" s="2" t="s">
        <v>297</v>
      </c>
      <c r="B847" s="2" t="s">
        <v>4</v>
      </c>
      <c r="C847" s="3">
        <v>1734.17</v>
      </c>
      <c r="D847" s="1">
        <v>1950</v>
      </c>
      <c r="E847" t="s">
        <v>1932</v>
      </c>
    </row>
    <row r="848" spans="1:5" x14ac:dyDescent="0.35">
      <c r="A848" s="2" t="s">
        <v>811</v>
      </c>
      <c r="B848" s="2" t="s">
        <v>4</v>
      </c>
      <c r="C848" s="3">
        <v>5560.35</v>
      </c>
      <c r="D848" s="1">
        <v>6230</v>
      </c>
      <c r="E848" t="s">
        <v>1933</v>
      </c>
    </row>
    <row r="849" spans="1:5" x14ac:dyDescent="0.35">
      <c r="A849" s="2" t="s">
        <v>298</v>
      </c>
      <c r="B849" s="2" t="s">
        <v>4</v>
      </c>
      <c r="C849" s="3">
        <v>1862.86</v>
      </c>
      <c r="D849" s="1">
        <v>2090</v>
      </c>
      <c r="E849" t="s">
        <v>1934</v>
      </c>
    </row>
    <row r="850" spans="1:5" x14ac:dyDescent="0.35">
      <c r="A850" s="2" t="s">
        <v>812</v>
      </c>
      <c r="B850" s="2" t="s">
        <v>4</v>
      </c>
      <c r="C850" s="3">
        <v>2112.42</v>
      </c>
      <c r="D850" s="1">
        <v>2370</v>
      </c>
      <c r="E850" t="s">
        <v>1935</v>
      </c>
    </row>
    <row r="851" spans="1:5" x14ac:dyDescent="0.35">
      <c r="A851" s="2" t="s">
        <v>813</v>
      </c>
      <c r="B851" s="2" t="s">
        <v>374</v>
      </c>
      <c r="C851" s="3">
        <v>524.83000000000004</v>
      </c>
      <c r="D851" s="1">
        <v>590</v>
      </c>
      <c r="E851" t="s">
        <v>1936</v>
      </c>
    </row>
    <row r="852" spans="1:5" x14ac:dyDescent="0.35">
      <c r="A852" s="2" t="s">
        <v>814</v>
      </c>
      <c r="B852" s="2" t="s">
        <v>5</v>
      </c>
      <c r="C852" s="3">
        <v>1066.72</v>
      </c>
      <c r="D852" s="1">
        <v>1200</v>
      </c>
      <c r="E852" t="s">
        <v>1936</v>
      </c>
    </row>
    <row r="853" spans="1:5" x14ac:dyDescent="0.35">
      <c r="A853" s="2" t="s">
        <v>815</v>
      </c>
      <c r="B853" s="2" t="s">
        <v>4</v>
      </c>
      <c r="C853" s="3">
        <v>2083.44</v>
      </c>
      <c r="D853" s="1">
        <v>2340</v>
      </c>
      <c r="E853" t="s">
        <v>1936</v>
      </c>
    </row>
    <row r="854" spans="1:5" x14ac:dyDescent="0.35">
      <c r="A854" s="2" t="s">
        <v>816</v>
      </c>
      <c r="B854" s="2" t="s">
        <v>4</v>
      </c>
      <c r="C854" s="3">
        <v>2362.8200000000002</v>
      </c>
      <c r="D854" s="1">
        <v>2650</v>
      </c>
      <c r="E854" t="s">
        <v>1937</v>
      </c>
    </row>
    <row r="855" spans="1:5" x14ac:dyDescent="0.35">
      <c r="A855" s="2" t="s">
        <v>299</v>
      </c>
      <c r="B855" s="2" t="s">
        <v>376</v>
      </c>
      <c r="C855" s="3">
        <v>129.97999999999999</v>
      </c>
      <c r="D855" s="1">
        <v>150</v>
      </c>
      <c r="E855" t="s">
        <v>1938</v>
      </c>
    </row>
    <row r="856" spans="1:5" x14ac:dyDescent="0.35">
      <c r="A856" s="2" t="s">
        <v>300</v>
      </c>
      <c r="B856" s="2" t="s">
        <v>374</v>
      </c>
      <c r="C856" s="3">
        <v>361.09</v>
      </c>
      <c r="D856" s="1">
        <v>410</v>
      </c>
      <c r="E856" t="s">
        <v>1938</v>
      </c>
    </row>
    <row r="857" spans="1:5" x14ac:dyDescent="0.35">
      <c r="A857" s="2" t="s">
        <v>301</v>
      </c>
      <c r="B857" s="2" t="s">
        <v>5</v>
      </c>
      <c r="C857" s="3">
        <v>727.35</v>
      </c>
      <c r="D857" s="1">
        <v>820</v>
      </c>
      <c r="E857" t="s">
        <v>1938</v>
      </c>
    </row>
    <row r="858" spans="1:5" x14ac:dyDescent="0.35">
      <c r="A858" s="2" t="s">
        <v>302</v>
      </c>
      <c r="B858" s="2" t="s">
        <v>4</v>
      </c>
      <c r="C858" s="3">
        <v>1434.89</v>
      </c>
      <c r="D858" s="1">
        <v>1610</v>
      </c>
      <c r="E858" t="s">
        <v>1938</v>
      </c>
    </row>
    <row r="859" spans="1:5" x14ac:dyDescent="0.35">
      <c r="A859" s="2" t="s">
        <v>303</v>
      </c>
      <c r="B859" s="2" t="s">
        <v>4</v>
      </c>
      <c r="C859" s="3">
        <v>2161.2800000000002</v>
      </c>
      <c r="D859" s="1">
        <v>2430</v>
      </c>
      <c r="E859" t="s">
        <v>1939</v>
      </c>
    </row>
    <row r="860" spans="1:5" x14ac:dyDescent="0.35">
      <c r="A860" s="2" t="s">
        <v>304</v>
      </c>
      <c r="B860" s="2" t="s">
        <v>374</v>
      </c>
      <c r="C860" s="3">
        <v>476.66</v>
      </c>
      <c r="D860" s="1">
        <v>540</v>
      </c>
      <c r="E860" t="s">
        <v>1940</v>
      </c>
    </row>
    <row r="861" spans="1:5" x14ac:dyDescent="0.35">
      <c r="A861" s="2" t="s">
        <v>817</v>
      </c>
      <c r="B861" s="2" t="s">
        <v>5</v>
      </c>
      <c r="C861" s="3">
        <v>970.54</v>
      </c>
      <c r="D861" s="1">
        <v>1090</v>
      </c>
      <c r="E861" t="s">
        <v>1940</v>
      </c>
    </row>
    <row r="862" spans="1:5" x14ac:dyDescent="0.35">
      <c r="A862" s="2" t="s">
        <v>305</v>
      </c>
      <c r="B862" s="2" t="s">
        <v>4</v>
      </c>
      <c r="C862" s="3">
        <v>1881.07</v>
      </c>
      <c r="D862" s="1">
        <v>2110</v>
      </c>
      <c r="E862" t="s">
        <v>1940</v>
      </c>
    </row>
    <row r="863" spans="1:5" x14ac:dyDescent="0.35">
      <c r="A863" s="2" t="s">
        <v>306</v>
      </c>
      <c r="B863" s="2" t="s">
        <v>4</v>
      </c>
      <c r="C863" s="3">
        <v>2547.04</v>
      </c>
      <c r="D863" s="1">
        <v>2860</v>
      </c>
      <c r="E863" t="s">
        <v>1941</v>
      </c>
    </row>
    <row r="864" spans="1:5" x14ac:dyDescent="0.35">
      <c r="A864" s="2" t="s">
        <v>818</v>
      </c>
      <c r="B864" s="2" t="s">
        <v>4</v>
      </c>
      <c r="C864" s="3">
        <v>1920.91</v>
      </c>
      <c r="D864" s="1">
        <v>2160</v>
      </c>
      <c r="E864" t="s">
        <v>1942</v>
      </c>
    </row>
    <row r="865" spans="1:5" x14ac:dyDescent="0.35">
      <c r="A865" s="2" t="s">
        <v>307</v>
      </c>
      <c r="B865" s="2" t="s">
        <v>4</v>
      </c>
      <c r="C865" s="3">
        <v>7147.49</v>
      </c>
      <c r="D865" s="1">
        <v>8010</v>
      </c>
      <c r="E865" t="s">
        <v>1943</v>
      </c>
    </row>
    <row r="866" spans="1:5" x14ac:dyDescent="0.35">
      <c r="A866" s="2" t="s">
        <v>308</v>
      </c>
      <c r="B866" s="2" t="s">
        <v>4</v>
      </c>
      <c r="C866" s="3">
        <v>3573.09</v>
      </c>
      <c r="D866" s="1">
        <v>4010</v>
      </c>
      <c r="E866" t="s">
        <v>1944</v>
      </c>
    </row>
    <row r="867" spans="1:5" x14ac:dyDescent="0.35">
      <c r="A867" s="2" t="s">
        <v>309</v>
      </c>
      <c r="B867" s="2" t="s">
        <v>4</v>
      </c>
      <c r="C867" s="3">
        <v>2961.44</v>
      </c>
      <c r="D867" s="1">
        <v>3320</v>
      </c>
      <c r="E867" t="s">
        <v>1945</v>
      </c>
    </row>
    <row r="868" spans="1:5" x14ac:dyDescent="0.35">
      <c r="A868" s="2" t="s">
        <v>819</v>
      </c>
      <c r="B868" s="2" t="s">
        <v>4</v>
      </c>
      <c r="C868" s="3">
        <v>9450.67</v>
      </c>
      <c r="D868" s="1">
        <v>10590</v>
      </c>
      <c r="E868" t="s">
        <v>1946</v>
      </c>
    </row>
    <row r="869" spans="1:5" x14ac:dyDescent="0.35">
      <c r="A869" s="2" t="s">
        <v>820</v>
      </c>
      <c r="B869" s="2" t="s">
        <v>4</v>
      </c>
      <c r="C869" s="3">
        <v>11668.96</v>
      </c>
      <c r="D869" s="1">
        <v>13070</v>
      </c>
      <c r="E869" t="s">
        <v>1947</v>
      </c>
    </row>
    <row r="870" spans="1:5" x14ac:dyDescent="0.35">
      <c r="A870" s="2" t="s">
        <v>821</v>
      </c>
      <c r="B870" s="2" t="s">
        <v>4</v>
      </c>
      <c r="C870" s="3">
        <v>12653.04</v>
      </c>
      <c r="D870" s="1">
        <v>14180</v>
      </c>
      <c r="E870" t="s">
        <v>1948</v>
      </c>
    </row>
    <row r="871" spans="1:5" x14ac:dyDescent="0.35">
      <c r="A871" s="2" t="s">
        <v>310</v>
      </c>
      <c r="B871" s="2" t="s">
        <v>4</v>
      </c>
      <c r="C871" s="3">
        <v>1399.1</v>
      </c>
      <c r="D871" s="1">
        <v>1570</v>
      </c>
      <c r="E871" t="s">
        <v>1949</v>
      </c>
    </row>
    <row r="872" spans="1:5" x14ac:dyDescent="0.35">
      <c r="A872" s="2" t="s">
        <v>822</v>
      </c>
      <c r="B872" s="2" t="s">
        <v>4</v>
      </c>
      <c r="C872" s="3">
        <v>1631.62</v>
      </c>
      <c r="D872" s="1">
        <v>1830</v>
      </c>
      <c r="E872" t="s">
        <v>1950</v>
      </c>
    </row>
    <row r="873" spans="1:5" x14ac:dyDescent="0.35">
      <c r="A873" s="2" t="s">
        <v>823</v>
      </c>
      <c r="B873" s="2" t="s">
        <v>4</v>
      </c>
      <c r="C873" s="3">
        <v>2011.12</v>
      </c>
      <c r="D873" s="1">
        <v>2260</v>
      </c>
      <c r="E873" t="s">
        <v>1951</v>
      </c>
    </row>
    <row r="874" spans="1:5" x14ac:dyDescent="0.35">
      <c r="A874" s="2" t="s">
        <v>311</v>
      </c>
      <c r="B874" s="2" t="s">
        <v>4</v>
      </c>
      <c r="C874" s="3">
        <v>3026.06</v>
      </c>
      <c r="D874" s="1">
        <v>3390</v>
      </c>
      <c r="E874" t="s">
        <v>1952</v>
      </c>
    </row>
    <row r="875" spans="1:5" x14ac:dyDescent="0.35">
      <c r="A875" s="2" t="s">
        <v>824</v>
      </c>
      <c r="B875" s="2" t="s">
        <v>374</v>
      </c>
      <c r="C875" s="3">
        <v>524.86</v>
      </c>
      <c r="D875" s="1">
        <v>590</v>
      </c>
      <c r="E875" t="s">
        <v>1953</v>
      </c>
    </row>
    <row r="876" spans="1:5" x14ac:dyDescent="0.35">
      <c r="A876" s="2" t="s">
        <v>312</v>
      </c>
      <c r="B876" s="2" t="s">
        <v>5</v>
      </c>
      <c r="C876" s="3">
        <v>881.35</v>
      </c>
      <c r="D876" s="1">
        <v>990</v>
      </c>
      <c r="E876" t="s">
        <v>1953</v>
      </c>
    </row>
    <row r="877" spans="1:5" x14ac:dyDescent="0.35">
      <c r="A877" s="2" t="s">
        <v>313</v>
      </c>
      <c r="B877" s="2" t="s">
        <v>4</v>
      </c>
      <c r="C877" s="3">
        <v>1519.5</v>
      </c>
      <c r="D877" s="1">
        <v>1710</v>
      </c>
      <c r="E877" t="s">
        <v>1953</v>
      </c>
    </row>
    <row r="878" spans="1:5" x14ac:dyDescent="0.35">
      <c r="A878" s="2" t="s">
        <v>825</v>
      </c>
      <c r="B878" s="2" t="s">
        <v>4</v>
      </c>
      <c r="C878" s="3">
        <v>8706.6</v>
      </c>
      <c r="D878" s="1">
        <v>9760</v>
      </c>
      <c r="E878" t="s">
        <v>1954</v>
      </c>
    </row>
    <row r="879" spans="1:5" x14ac:dyDescent="0.35">
      <c r="A879" s="2" t="s">
        <v>826</v>
      </c>
      <c r="B879" s="2" t="s">
        <v>4</v>
      </c>
      <c r="C879" s="3">
        <v>6486.95</v>
      </c>
      <c r="D879" s="1">
        <v>7270</v>
      </c>
      <c r="E879" t="s">
        <v>1955</v>
      </c>
    </row>
    <row r="880" spans="1:5" x14ac:dyDescent="0.35">
      <c r="A880" s="2" t="s">
        <v>827</v>
      </c>
      <c r="B880" s="2" t="s">
        <v>4</v>
      </c>
      <c r="C880" s="3">
        <v>7847.49</v>
      </c>
      <c r="D880" s="1">
        <v>8790</v>
      </c>
      <c r="E880" t="s">
        <v>1956</v>
      </c>
    </row>
    <row r="881" spans="1:5" x14ac:dyDescent="0.35">
      <c r="A881" s="2" t="s">
        <v>828</v>
      </c>
      <c r="B881" s="2" t="s">
        <v>4</v>
      </c>
      <c r="C881" s="3">
        <v>18520.689999999999</v>
      </c>
      <c r="D881" s="1">
        <v>20750</v>
      </c>
      <c r="E881" t="s">
        <v>1957</v>
      </c>
    </row>
    <row r="882" spans="1:5" x14ac:dyDescent="0.35">
      <c r="A882" s="2" t="s">
        <v>829</v>
      </c>
      <c r="B882" s="2" t="s">
        <v>4</v>
      </c>
      <c r="C882" s="3">
        <v>42462.66</v>
      </c>
      <c r="D882" s="1">
        <v>47560</v>
      </c>
      <c r="E882" t="s">
        <v>1958</v>
      </c>
    </row>
    <row r="883" spans="1:5" x14ac:dyDescent="0.35">
      <c r="A883" s="2" t="s">
        <v>314</v>
      </c>
      <c r="B883" s="2" t="s">
        <v>4</v>
      </c>
      <c r="C883" s="3">
        <v>4286.5200000000004</v>
      </c>
      <c r="D883" s="1">
        <v>4810</v>
      </c>
      <c r="E883" t="s">
        <v>1959</v>
      </c>
    </row>
    <row r="884" spans="1:5" x14ac:dyDescent="0.35">
      <c r="A884" s="2" t="s">
        <v>315</v>
      </c>
      <c r="B884" s="2" t="s">
        <v>4</v>
      </c>
      <c r="C884" s="3">
        <v>5079.34</v>
      </c>
      <c r="D884" s="1">
        <v>5690</v>
      </c>
      <c r="E884" t="s">
        <v>1960</v>
      </c>
    </row>
    <row r="885" spans="1:5" x14ac:dyDescent="0.35">
      <c r="A885" s="2" t="s">
        <v>830</v>
      </c>
      <c r="B885" s="2" t="s">
        <v>4</v>
      </c>
      <c r="C885" s="3">
        <v>9559.34</v>
      </c>
      <c r="D885" s="1">
        <v>10710</v>
      </c>
      <c r="E885" t="s">
        <v>1961</v>
      </c>
    </row>
    <row r="886" spans="1:5" x14ac:dyDescent="0.35">
      <c r="A886" s="2" t="s">
        <v>831</v>
      </c>
      <c r="B886" s="2" t="s">
        <v>4</v>
      </c>
      <c r="C886" s="3">
        <v>1466.64</v>
      </c>
      <c r="D886" s="1">
        <v>1650</v>
      </c>
      <c r="E886" t="s">
        <v>1962</v>
      </c>
    </row>
    <row r="887" spans="1:5" x14ac:dyDescent="0.35">
      <c r="A887" s="2" t="s">
        <v>316</v>
      </c>
      <c r="B887" s="2" t="s">
        <v>4</v>
      </c>
      <c r="C887" s="3">
        <v>1109.93</v>
      </c>
      <c r="D887" s="1">
        <v>1250</v>
      </c>
      <c r="E887" t="s">
        <v>1963</v>
      </c>
    </row>
    <row r="888" spans="1:5" x14ac:dyDescent="0.35">
      <c r="A888" s="2" t="s">
        <v>832</v>
      </c>
      <c r="B888" s="2" t="s">
        <v>4</v>
      </c>
      <c r="C888" s="3">
        <v>2343.66</v>
      </c>
      <c r="D888" s="1">
        <v>2630</v>
      </c>
      <c r="E888" t="s">
        <v>1964</v>
      </c>
    </row>
    <row r="889" spans="1:5" x14ac:dyDescent="0.35">
      <c r="A889" s="2" t="s">
        <v>833</v>
      </c>
      <c r="B889" s="2" t="s">
        <v>4</v>
      </c>
      <c r="C889" s="3">
        <v>2825.22</v>
      </c>
      <c r="D889" s="1">
        <v>3170</v>
      </c>
      <c r="E889" t="s">
        <v>1965</v>
      </c>
    </row>
    <row r="890" spans="1:5" x14ac:dyDescent="0.35">
      <c r="A890" s="2" t="s">
        <v>317</v>
      </c>
      <c r="B890" s="2" t="s">
        <v>4</v>
      </c>
      <c r="C890" s="3">
        <v>1918.33</v>
      </c>
      <c r="D890" s="1">
        <v>2150</v>
      </c>
      <c r="E890" t="s">
        <v>1966</v>
      </c>
    </row>
    <row r="891" spans="1:5" x14ac:dyDescent="0.35">
      <c r="A891" s="2" t="s">
        <v>834</v>
      </c>
      <c r="B891" s="2" t="s">
        <v>4</v>
      </c>
      <c r="C891" s="3">
        <v>1748</v>
      </c>
      <c r="D891" s="1">
        <v>1960</v>
      </c>
      <c r="E891" t="s">
        <v>1967</v>
      </c>
    </row>
    <row r="892" spans="1:5" x14ac:dyDescent="0.35">
      <c r="A892" s="2" t="s">
        <v>318</v>
      </c>
      <c r="B892" s="2" t="s">
        <v>5</v>
      </c>
      <c r="C892" s="3">
        <v>158.66</v>
      </c>
      <c r="D892" s="1">
        <v>180</v>
      </c>
      <c r="E892" t="s">
        <v>1968</v>
      </c>
    </row>
    <row r="893" spans="1:5" x14ac:dyDescent="0.35">
      <c r="A893" s="2" t="s">
        <v>319</v>
      </c>
      <c r="B893" s="2" t="s">
        <v>5</v>
      </c>
      <c r="C893" s="3">
        <v>158.94</v>
      </c>
      <c r="D893" s="1">
        <v>180</v>
      </c>
      <c r="E893" t="s">
        <v>1969</v>
      </c>
    </row>
    <row r="894" spans="1:5" x14ac:dyDescent="0.35">
      <c r="A894" s="2" t="s">
        <v>320</v>
      </c>
      <c r="B894" s="2" t="s">
        <v>4</v>
      </c>
      <c r="C894" s="3">
        <v>2847.02</v>
      </c>
      <c r="D894" s="1">
        <v>3190</v>
      </c>
      <c r="E894" t="s">
        <v>1970</v>
      </c>
    </row>
    <row r="895" spans="1:5" x14ac:dyDescent="0.35">
      <c r="A895" s="2" t="s">
        <v>321</v>
      </c>
      <c r="B895" s="2" t="s">
        <v>4</v>
      </c>
      <c r="C895" s="3">
        <v>1687.69</v>
      </c>
      <c r="D895" s="1">
        <v>1900</v>
      </c>
      <c r="E895" t="s">
        <v>1971</v>
      </c>
    </row>
    <row r="896" spans="1:5" x14ac:dyDescent="0.35">
      <c r="A896" s="2" t="s">
        <v>322</v>
      </c>
      <c r="B896" s="2" t="s">
        <v>4</v>
      </c>
      <c r="C896" s="3">
        <v>3572.78</v>
      </c>
      <c r="D896" s="1">
        <v>4010</v>
      </c>
      <c r="E896" t="s">
        <v>1972</v>
      </c>
    </row>
    <row r="897" spans="1:5" x14ac:dyDescent="0.35">
      <c r="A897" s="2" t="s">
        <v>835</v>
      </c>
      <c r="B897" s="2" t="s">
        <v>4</v>
      </c>
      <c r="C897" s="3">
        <v>2016.63</v>
      </c>
      <c r="D897" s="1">
        <v>2260</v>
      </c>
      <c r="E897" t="s">
        <v>1973</v>
      </c>
    </row>
    <row r="898" spans="1:5" x14ac:dyDescent="0.35">
      <c r="A898" s="2" t="s">
        <v>836</v>
      </c>
      <c r="B898" s="2" t="s">
        <v>4</v>
      </c>
      <c r="C898" s="3">
        <v>1891.69</v>
      </c>
      <c r="D898" s="1">
        <v>2120</v>
      </c>
      <c r="E898" t="s">
        <v>1974</v>
      </c>
    </row>
    <row r="899" spans="1:5" x14ac:dyDescent="0.35">
      <c r="A899" s="2" t="s">
        <v>323</v>
      </c>
      <c r="B899" s="2" t="s">
        <v>374</v>
      </c>
      <c r="C899" s="3">
        <v>330.57</v>
      </c>
      <c r="D899" s="1">
        <v>380</v>
      </c>
      <c r="E899" t="s">
        <v>1975</v>
      </c>
    </row>
    <row r="900" spans="1:5" x14ac:dyDescent="0.35">
      <c r="A900" s="2" t="s">
        <v>837</v>
      </c>
      <c r="B900" s="2" t="s">
        <v>5</v>
      </c>
      <c r="C900" s="3">
        <v>669.4</v>
      </c>
      <c r="D900" s="1">
        <v>750</v>
      </c>
      <c r="E900" t="s">
        <v>1975</v>
      </c>
    </row>
    <row r="901" spans="1:5" x14ac:dyDescent="0.35">
      <c r="A901" s="2" t="s">
        <v>837</v>
      </c>
      <c r="B901" s="2" t="s">
        <v>4</v>
      </c>
      <c r="C901" s="3">
        <v>1328.38</v>
      </c>
      <c r="D901" s="1">
        <v>1490</v>
      </c>
      <c r="E901" t="s">
        <v>1975</v>
      </c>
    </row>
    <row r="902" spans="1:5" x14ac:dyDescent="0.35">
      <c r="A902" s="2" t="s">
        <v>838</v>
      </c>
      <c r="B902" s="2" t="s">
        <v>4</v>
      </c>
      <c r="C902" s="3">
        <v>2469.21</v>
      </c>
      <c r="D902" s="1">
        <v>2770</v>
      </c>
      <c r="E902" t="s">
        <v>1976</v>
      </c>
    </row>
    <row r="903" spans="1:5" x14ac:dyDescent="0.35">
      <c r="A903" s="2" t="s">
        <v>839</v>
      </c>
      <c r="B903" s="2" t="s">
        <v>4</v>
      </c>
      <c r="C903" s="3">
        <v>1385.61</v>
      </c>
      <c r="D903" s="1">
        <v>1560</v>
      </c>
      <c r="E903" t="s">
        <v>1977</v>
      </c>
    </row>
    <row r="904" spans="1:5" x14ac:dyDescent="0.35">
      <c r="A904" s="2" t="s">
        <v>840</v>
      </c>
      <c r="B904" s="2" t="s">
        <v>4</v>
      </c>
      <c r="C904" s="3">
        <v>1287.49</v>
      </c>
      <c r="D904" s="1">
        <v>1450</v>
      </c>
      <c r="E904" t="s">
        <v>1978</v>
      </c>
    </row>
    <row r="905" spans="1:5" x14ac:dyDescent="0.35">
      <c r="A905" s="2" t="s">
        <v>841</v>
      </c>
      <c r="B905" s="2" t="s">
        <v>374</v>
      </c>
      <c r="C905" s="3">
        <v>129.88</v>
      </c>
      <c r="D905" s="1">
        <v>150</v>
      </c>
      <c r="E905" t="s">
        <v>1979</v>
      </c>
    </row>
    <row r="906" spans="1:5" x14ac:dyDescent="0.35">
      <c r="A906" s="2" t="s">
        <v>842</v>
      </c>
      <c r="B906" s="2" t="s">
        <v>5</v>
      </c>
      <c r="C906" s="3">
        <v>268.07</v>
      </c>
      <c r="D906" s="1">
        <v>310</v>
      </c>
      <c r="E906" t="s">
        <v>1979</v>
      </c>
    </row>
    <row r="907" spans="1:5" x14ac:dyDescent="0.35">
      <c r="A907" s="2" t="s">
        <v>843</v>
      </c>
      <c r="B907" s="2" t="s">
        <v>4</v>
      </c>
      <c r="C907" s="3">
        <v>526.20000000000005</v>
      </c>
      <c r="D907" s="1">
        <v>590</v>
      </c>
      <c r="E907" t="s">
        <v>1979</v>
      </c>
    </row>
    <row r="908" spans="1:5" x14ac:dyDescent="0.35">
      <c r="A908" s="2" t="s">
        <v>844</v>
      </c>
      <c r="B908" s="2" t="s">
        <v>4</v>
      </c>
      <c r="C908" s="3">
        <v>3080.69</v>
      </c>
      <c r="D908" s="1">
        <v>3460</v>
      </c>
      <c r="E908" t="s">
        <v>1980</v>
      </c>
    </row>
    <row r="909" spans="1:5" x14ac:dyDescent="0.35">
      <c r="A909" s="4" t="s">
        <v>951</v>
      </c>
      <c r="B909" s="2" t="s">
        <v>4</v>
      </c>
      <c r="C909" s="3">
        <v>2279.91</v>
      </c>
      <c r="D909" s="1">
        <v>2560</v>
      </c>
      <c r="E909" t="s">
        <v>1313</v>
      </c>
    </row>
    <row r="910" spans="1:5" x14ac:dyDescent="0.35">
      <c r="A910" s="2" t="s">
        <v>845</v>
      </c>
      <c r="B910" s="2" t="s">
        <v>4</v>
      </c>
      <c r="C910" s="3">
        <v>2253.56</v>
      </c>
      <c r="D910" s="1">
        <v>2530</v>
      </c>
      <c r="E910" t="s">
        <v>1981</v>
      </c>
    </row>
    <row r="911" spans="1:5" x14ac:dyDescent="0.35">
      <c r="A911" s="2" t="s">
        <v>846</v>
      </c>
      <c r="B911" s="2" t="s">
        <v>4</v>
      </c>
      <c r="C911" s="3">
        <v>1863.56</v>
      </c>
      <c r="D911" s="1">
        <v>2090</v>
      </c>
      <c r="E911" t="s">
        <v>1982</v>
      </c>
    </row>
    <row r="912" spans="1:5" x14ac:dyDescent="0.35">
      <c r="A912" s="2" t="s">
        <v>847</v>
      </c>
      <c r="B912" s="2" t="s">
        <v>374</v>
      </c>
      <c r="C912" s="3">
        <v>102.74</v>
      </c>
      <c r="D912" s="1">
        <v>120</v>
      </c>
      <c r="E912" t="s">
        <v>1983</v>
      </c>
    </row>
    <row r="913" spans="1:5" x14ac:dyDescent="0.35">
      <c r="A913" s="2" t="s">
        <v>847</v>
      </c>
      <c r="B913" s="2" t="s">
        <v>5</v>
      </c>
      <c r="C913" s="3">
        <v>204.04</v>
      </c>
      <c r="D913" s="1">
        <v>230</v>
      </c>
      <c r="E913" t="s">
        <v>1983</v>
      </c>
    </row>
    <row r="914" spans="1:5" x14ac:dyDescent="0.35">
      <c r="A914" s="2" t="s">
        <v>847</v>
      </c>
      <c r="B914" s="2" t="s">
        <v>4</v>
      </c>
      <c r="C914" s="3">
        <v>388.07</v>
      </c>
      <c r="D914" s="1">
        <v>440</v>
      </c>
      <c r="E914" t="s">
        <v>1983</v>
      </c>
    </row>
    <row r="915" spans="1:5" x14ac:dyDescent="0.35">
      <c r="A915" s="2" t="s">
        <v>848</v>
      </c>
      <c r="B915" s="2" t="s">
        <v>4</v>
      </c>
      <c r="C915" s="3">
        <v>1915.5</v>
      </c>
      <c r="D915" s="1">
        <v>2150</v>
      </c>
      <c r="E915" t="s">
        <v>1315</v>
      </c>
    </row>
    <row r="916" spans="1:5" x14ac:dyDescent="0.35">
      <c r="A916" s="2" t="s">
        <v>324</v>
      </c>
      <c r="B916" s="2" t="s">
        <v>4</v>
      </c>
      <c r="C916" s="3">
        <v>2798.8</v>
      </c>
      <c r="D916" s="1">
        <v>3140</v>
      </c>
      <c r="E916" t="s">
        <v>1984</v>
      </c>
    </row>
    <row r="917" spans="1:5" x14ac:dyDescent="0.35">
      <c r="A917" s="2" t="s">
        <v>849</v>
      </c>
      <c r="B917" s="2" t="s">
        <v>374</v>
      </c>
      <c r="C917" s="3">
        <v>161.69999999999999</v>
      </c>
      <c r="D917" s="1">
        <v>190</v>
      </c>
      <c r="E917" t="s">
        <v>1985</v>
      </c>
    </row>
    <row r="918" spans="1:5" x14ac:dyDescent="0.35">
      <c r="A918" s="2" t="s">
        <v>850</v>
      </c>
      <c r="B918" s="2" t="s">
        <v>5</v>
      </c>
      <c r="C918" s="3">
        <v>319.22000000000003</v>
      </c>
      <c r="D918" s="1">
        <v>360</v>
      </c>
      <c r="E918" t="s">
        <v>1985</v>
      </c>
    </row>
    <row r="919" spans="1:5" x14ac:dyDescent="0.35">
      <c r="A919" s="2" t="s">
        <v>851</v>
      </c>
      <c r="B919" s="2" t="s">
        <v>4</v>
      </c>
      <c r="C919" s="3">
        <v>626.02</v>
      </c>
      <c r="D919" s="1">
        <v>710</v>
      </c>
      <c r="E919" t="s">
        <v>1985</v>
      </c>
    </row>
    <row r="920" spans="1:5" x14ac:dyDescent="0.35">
      <c r="A920" s="2" t="s">
        <v>852</v>
      </c>
      <c r="B920" s="2" t="s">
        <v>4</v>
      </c>
      <c r="C920" s="3">
        <v>2953.6</v>
      </c>
      <c r="D920" s="1">
        <v>3310</v>
      </c>
      <c r="E920" t="s">
        <v>1986</v>
      </c>
    </row>
    <row r="921" spans="1:5" x14ac:dyDescent="0.35">
      <c r="A921" s="2" t="s">
        <v>325</v>
      </c>
      <c r="B921" s="2" t="s">
        <v>374</v>
      </c>
      <c r="C921" s="3">
        <v>215.66</v>
      </c>
      <c r="D921" s="1">
        <v>250</v>
      </c>
      <c r="E921" t="s">
        <v>1987</v>
      </c>
    </row>
    <row r="922" spans="1:5" x14ac:dyDescent="0.35">
      <c r="A922" s="2" t="s">
        <v>326</v>
      </c>
      <c r="B922" s="2" t="s">
        <v>5</v>
      </c>
      <c r="C922" s="3">
        <v>429.19</v>
      </c>
      <c r="D922" s="1">
        <v>490</v>
      </c>
      <c r="E922" t="s">
        <v>1987</v>
      </c>
    </row>
    <row r="923" spans="1:5" x14ac:dyDescent="0.35">
      <c r="A923" s="2" t="s">
        <v>327</v>
      </c>
      <c r="B923" s="2" t="s">
        <v>4</v>
      </c>
      <c r="C923" s="3">
        <v>828.37</v>
      </c>
      <c r="D923" s="1">
        <v>930</v>
      </c>
      <c r="E923" t="s">
        <v>1987</v>
      </c>
    </row>
    <row r="924" spans="1:5" x14ac:dyDescent="0.35">
      <c r="A924" s="2" t="s">
        <v>328</v>
      </c>
      <c r="B924" s="2" t="s">
        <v>376</v>
      </c>
      <c r="C924" s="3">
        <v>107.85</v>
      </c>
      <c r="D924" s="1">
        <v>130</v>
      </c>
      <c r="E924" t="s">
        <v>1987</v>
      </c>
    </row>
    <row r="925" spans="1:5" x14ac:dyDescent="0.35">
      <c r="A925" s="2" t="s">
        <v>853</v>
      </c>
      <c r="B925" s="2" t="s">
        <v>374</v>
      </c>
      <c r="C925" s="3">
        <v>157.08000000000001</v>
      </c>
      <c r="D925" s="1">
        <v>180</v>
      </c>
      <c r="E925" t="s">
        <v>1988</v>
      </c>
    </row>
    <row r="926" spans="1:5" x14ac:dyDescent="0.35">
      <c r="A926" s="2" t="s">
        <v>329</v>
      </c>
      <c r="B926" s="2" t="s">
        <v>5</v>
      </c>
      <c r="C926" s="3">
        <v>304.89999999999998</v>
      </c>
      <c r="D926" s="1">
        <v>350</v>
      </c>
      <c r="E926" t="s">
        <v>1988</v>
      </c>
    </row>
    <row r="927" spans="1:5" x14ac:dyDescent="0.35">
      <c r="A927" s="2" t="s">
        <v>330</v>
      </c>
      <c r="B927" s="2" t="s">
        <v>4</v>
      </c>
      <c r="C927" s="3">
        <v>599.41999999999996</v>
      </c>
      <c r="D927" s="1">
        <v>680</v>
      </c>
      <c r="E927" t="s">
        <v>1988</v>
      </c>
    </row>
    <row r="928" spans="1:5" x14ac:dyDescent="0.35">
      <c r="A928" s="2" t="s">
        <v>854</v>
      </c>
      <c r="B928" s="2" t="s">
        <v>4</v>
      </c>
      <c r="C928" s="3">
        <v>2571.29</v>
      </c>
      <c r="D928" s="1">
        <v>2880</v>
      </c>
      <c r="E928" t="s">
        <v>1989</v>
      </c>
    </row>
    <row r="929" spans="1:5" x14ac:dyDescent="0.35">
      <c r="A929" s="2" t="s">
        <v>855</v>
      </c>
      <c r="B929" s="2" t="s">
        <v>374</v>
      </c>
      <c r="C929" s="3">
        <v>253.77</v>
      </c>
      <c r="D929" s="1">
        <v>290</v>
      </c>
      <c r="E929" t="s">
        <v>1990</v>
      </c>
    </row>
    <row r="930" spans="1:5" x14ac:dyDescent="0.35">
      <c r="A930" s="2" t="s">
        <v>855</v>
      </c>
      <c r="B930" s="2" t="s">
        <v>4</v>
      </c>
      <c r="C930" s="3">
        <v>980.67</v>
      </c>
      <c r="D930" s="1">
        <v>1100</v>
      </c>
      <c r="E930" t="s">
        <v>1990</v>
      </c>
    </row>
    <row r="931" spans="1:5" x14ac:dyDescent="0.35">
      <c r="A931" s="2" t="s">
        <v>856</v>
      </c>
      <c r="B931" s="2" t="s">
        <v>4</v>
      </c>
      <c r="C931" s="3">
        <v>1862.09</v>
      </c>
      <c r="D931" s="1">
        <v>2090</v>
      </c>
      <c r="E931" t="s">
        <v>1991</v>
      </c>
    </row>
    <row r="932" spans="1:5" x14ac:dyDescent="0.35">
      <c r="A932" s="2" t="s">
        <v>857</v>
      </c>
      <c r="B932" s="2" t="s">
        <v>4</v>
      </c>
      <c r="C932" s="3">
        <v>5165.8599999999997</v>
      </c>
      <c r="D932" s="1">
        <v>5790</v>
      </c>
      <c r="E932" t="s">
        <v>1992</v>
      </c>
    </row>
    <row r="933" spans="1:5" x14ac:dyDescent="0.35">
      <c r="A933" s="2" t="s">
        <v>858</v>
      </c>
      <c r="B933" s="2" t="s">
        <v>374</v>
      </c>
      <c r="C933" s="3">
        <v>235.39</v>
      </c>
      <c r="D933" s="1">
        <v>270</v>
      </c>
      <c r="E933" t="s">
        <v>1993</v>
      </c>
    </row>
    <row r="934" spans="1:5" x14ac:dyDescent="0.35">
      <c r="A934" s="2" t="s">
        <v>858</v>
      </c>
      <c r="B934" s="2" t="s">
        <v>5</v>
      </c>
      <c r="C934" s="3">
        <v>476.5</v>
      </c>
      <c r="D934" s="1">
        <v>540</v>
      </c>
      <c r="E934" t="s">
        <v>1993</v>
      </c>
    </row>
    <row r="935" spans="1:5" x14ac:dyDescent="0.35">
      <c r="A935" s="2" t="s">
        <v>858</v>
      </c>
      <c r="B935" s="2" t="s">
        <v>4</v>
      </c>
      <c r="C935" s="3">
        <v>942.99</v>
      </c>
      <c r="D935" s="1">
        <v>1060</v>
      </c>
      <c r="E935" t="s">
        <v>1993</v>
      </c>
    </row>
    <row r="936" spans="1:5" x14ac:dyDescent="0.35">
      <c r="A936" s="2" t="s">
        <v>859</v>
      </c>
      <c r="B936" s="2" t="s">
        <v>376</v>
      </c>
      <c r="C936" s="3">
        <v>120.55</v>
      </c>
      <c r="D936" s="1">
        <v>140</v>
      </c>
      <c r="E936" t="s">
        <v>1993</v>
      </c>
    </row>
    <row r="937" spans="1:5" x14ac:dyDescent="0.35">
      <c r="A937" s="2" t="s">
        <v>331</v>
      </c>
      <c r="B937" s="2" t="s">
        <v>4</v>
      </c>
      <c r="C937" s="3">
        <v>8133.54</v>
      </c>
      <c r="D937" s="1">
        <v>9110</v>
      </c>
      <c r="E937" t="s">
        <v>1994</v>
      </c>
    </row>
    <row r="938" spans="1:5" x14ac:dyDescent="0.35">
      <c r="A938" s="2" t="s">
        <v>860</v>
      </c>
      <c r="B938" s="2" t="s">
        <v>4</v>
      </c>
      <c r="C938" s="3">
        <v>9425.69</v>
      </c>
      <c r="D938" s="1">
        <v>10560</v>
      </c>
      <c r="E938" t="s">
        <v>1995</v>
      </c>
    </row>
    <row r="939" spans="1:5" x14ac:dyDescent="0.35">
      <c r="A939" s="2" t="s">
        <v>861</v>
      </c>
      <c r="B939" s="2" t="s">
        <v>374</v>
      </c>
      <c r="C939" s="3">
        <v>186.89</v>
      </c>
      <c r="D939" s="1">
        <v>210</v>
      </c>
      <c r="E939" t="s">
        <v>1996</v>
      </c>
    </row>
    <row r="940" spans="1:5" x14ac:dyDescent="0.35">
      <c r="A940" s="2" t="s">
        <v>862</v>
      </c>
      <c r="B940" s="2" t="s">
        <v>5</v>
      </c>
      <c r="C940" s="3">
        <v>371.84</v>
      </c>
      <c r="D940" s="1">
        <v>420</v>
      </c>
      <c r="E940" t="s">
        <v>1996</v>
      </c>
    </row>
    <row r="941" spans="1:5" x14ac:dyDescent="0.35">
      <c r="A941" s="2" t="s">
        <v>863</v>
      </c>
      <c r="B941" s="2" t="s">
        <v>4</v>
      </c>
      <c r="C941" s="3">
        <v>729.65</v>
      </c>
      <c r="D941" s="1">
        <v>820</v>
      </c>
      <c r="E941" t="s">
        <v>1996</v>
      </c>
    </row>
    <row r="942" spans="1:5" x14ac:dyDescent="0.35">
      <c r="A942" s="2" t="s">
        <v>332</v>
      </c>
      <c r="B942" s="2" t="s">
        <v>376</v>
      </c>
      <c r="C942" s="3">
        <v>98.45</v>
      </c>
      <c r="D942" s="1">
        <v>120</v>
      </c>
      <c r="E942" t="s">
        <v>1996</v>
      </c>
    </row>
    <row r="943" spans="1:5" x14ac:dyDescent="0.35">
      <c r="A943" s="2" t="s">
        <v>864</v>
      </c>
      <c r="B943" s="2" t="s">
        <v>374</v>
      </c>
      <c r="C943" s="3">
        <v>186.89</v>
      </c>
      <c r="D943" s="1">
        <v>210</v>
      </c>
      <c r="E943" t="s">
        <v>1997</v>
      </c>
    </row>
    <row r="944" spans="1:5" x14ac:dyDescent="0.35">
      <c r="A944" s="2" t="s">
        <v>864</v>
      </c>
      <c r="B944" s="2" t="s">
        <v>5</v>
      </c>
      <c r="C944" s="3">
        <v>371.84</v>
      </c>
      <c r="D944" s="1">
        <v>420</v>
      </c>
      <c r="E944" t="s">
        <v>1997</v>
      </c>
    </row>
    <row r="945" spans="1:5" x14ac:dyDescent="0.35">
      <c r="A945" s="2" t="s">
        <v>865</v>
      </c>
      <c r="B945" s="2" t="s">
        <v>4</v>
      </c>
      <c r="C945" s="3">
        <v>723.68</v>
      </c>
      <c r="D945" s="1">
        <v>820</v>
      </c>
      <c r="E945" t="s">
        <v>1997</v>
      </c>
    </row>
    <row r="946" spans="1:5" x14ac:dyDescent="0.35">
      <c r="A946" s="2" t="s">
        <v>333</v>
      </c>
      <c r="B946" s="2" t="s">
        <v>376</v>
      </c>
      <c r="C946" s="3">
        <v>98.45</v>
      </c>
      <c r="D946" s="1">
        <v>120</v>
      </c>
      <c r="E946" t="s">
        <v>1997</v>
      </c>
    </row>
    <row r="947" spans="1:5" x14ac:dyDescent="0.35">
      <c r="A947" s="2" t="s">
        <v>866</v>
      </c>
      <c r="B947" s="2" t="s">
        <v>374</v>
      </c>
      <c r="C947" s="3">
        <v>186.89</v>
      </c>
      <c r="D947" s="1">
        <v>210</v>
      </c>
      <c r="E947" t="s">
        <v>1998</v>
      </c>
    </row>
    <row r="948" spans="1:5" x14ac:dyDescent="0.35">
      <c r="A948" s="2" t="s">
        <v>867</v>
      </c>
      <c r="B948" s="2" t="s">
        <v>5</v>
      </c>
      <c r="C948" s="3">
        <v>371.84</v>
      </c>
      <c r="D948" s="1">
        <v>420</v>
      </c>
      <c r="E948" t="s">
        <v>1998</v>
      </c>
    </row>
    <row r="949" spans="1:5" x14ac:dyDescent="0.35">
      <c r="A949" s="2" t="s">
        <v>868</v>
      </c>
      <c r="B949" s="2" t="s">
        <v>4</v>
      </c>
      <c r="C949" s="3">
        <v>723.68</v>
      </c>
      <c r="D949" s="1">
        <v>820</v>
      </c>
      <c r="E949" t="s">
        <v>1998</v>
      </c>
    </row>
    <row r="950" spans="1:5" x14ac:dyDescent="0.35">
      <c r="A950" s="2" t="s">
        <v>334</v>
      </c>
      <c r="B950" s="2" t="s">
        <v>376</v>
      </c>
      <c r="C950" s="3">
        <v>98.45</v>
      </c>
      <c r="D950" s="1">
        <v>120</v>
      </c>
      <c r="E950" t="s">
        <v>1998</v>
      </c>
    </row>
    <row r="951" spans="1:5" x14ac:dyDescent="0.35">
      <c r="A951" s="2" t="s">
        <v>869</v>
      </c>
      <c r="B951" s="2" t="s">
        <v>374</v>
      </c>
      <c r="C951" s="3">
        <v>186.89</v>
      </c>
      <c r="D951" s="1">
        <v>210</v>
      </c>
      <c r="E951" t="s">
        <v>1999</v>
      </c>
    </row>
    <row r="952" spans="1:5" x14ac:dyDescent="0.35">
      <c r="A952" s="2" t="s">
        <v>870</v>
      </c>
      <c r="B952" s="2" t="s">
        <v>5</v>
      </c>
      <c r="C952" s="3">
        <v>371.84</v>
      </c>
      <c r="D952" s="1">
        <v>420</v>
      </c>
      <c r="E952" t="s">
        <v>1999</v>
      </c>
    </row>
    <row r="953" spans="1:5" x14ac:dyDescent="0.35">
      <c r="A953" s="2" t="s">
        <v>871</v>
      </c>
      <c r="B953" s="2" t="s">
        <v>4</v>
      </c>
      <c r="C953" s="3">
        <v>723.68</v>
      </c>
      <c r="D953" s="1">
        <v>820</v>
      </c>
      <c r="E953" t="s">
        <v>1999</v>
      </c>
    </row>
    <row r="954" spans="1:5" x14ac:dyDescent="0.35">
      <c r="A954" s="2" t="s">
        <v>335</v>
      </c>
      <c r="B954" s="2" t="s">
        <v>376</v>
      </c>
      <c r="C954" s="3">
        <v>98.45</v>
      </c>
      <c r="D954" s="1">
        <v>120</v>
      </c>
      <c r="E954" t="s">
        <v>1999</v>
      </c>
    </row>
    <row r="955" spans="1:5" x14ac:dyDescent="0.35">
      <c r="A955" s="2" t="s">
        <v>872</v>
      </c>
      <c r="B955" s="2" t="s">
        <v>374</v>
      </c>
      <c r="C955" s="3">
        <v>205.41</v>
      </c>
      <c r="D955" s="1">
        <v>240</v>
      </c>
      <c r="E955" t="s">
        <v>2000</v>
      </c>
    </row>
    <row r="956" spans="1:5" x14ac:dyDescent="0.35">
      <c r="A956" s="2" t="s">
        <v>873</v>
      </c>
      <c r="B956" s="2" t="s">
        <v>5</v>
      </c>
      <c r="C956" s="3">
        <v>417.74</v>
      </c>
      <c r="D956" s="1">
        <v>470</v>
      </c>
      <c r="E956" t="s">
        <v>2000</v>
      </c>
    </row>
    <row r="957" spans="1:5" x14ac:dyDescent="0.35">
      <c r="A957" s="2" t="s">
        <v>874</v>
      </c>
      <c r="B957" s="2" t="s">
        <v>4</v>
      </c>
      <c r="C957" s="3">
        <v>815.11</v>
      </c>
      <c r="D957" s="1">
        <v>920</v>
      </c>
      <c r="E957" t="s">
        <v>2000</v>
      </c>
    </row>
    <row r="958" spans="1:5" x14ac:dyDescent="0.35">
      <c r="A958" s="2" t="s">
        <v>875</v>
      </c>
      <c r="B958" s="2" t="s">
        <v>4</v>
      </c>
      <c r="C958" s="3">
        <v>9457.59</v>
      </c>
      <c r="D958" s="1">
        <v>10600</v>
      </c>
      <c r="E958" t="s">
        <v>2001</v>
      </c>
    </row>
    <row r="959" spans="1:5" x14ac:dyDescent="0.35">
      <c r="A959" s="2" t="s">
        <v>336</v>
      </c>
      <c r="B959" s="2" t="s">
        <v>4</v>
      </c>
      <c r="C959" s="3">
        <v>2109.5</v>
      </c>
      <c r="D959" s="1">
        <v>2370</v>
      </c>
      <c r="E959" t="s">
        <v>2002</v>
      </c>
    </row>
    <row r="960" spans="1:5" x14ac:dyDescent="0.35">
      <c r="A960" s="2" t="s">
        <v>337</v>
      </c>
      <c r="B960" s="2" t="s">
        <v>4</v>
      </c>
      <c r="C960" s="3">
        <v>1767.84</v>
      </c>
      <c r="D960" s="1">
        <v>1980</v>
      </c>
      <c r="E960" t="s">
        <v>2003</v>
      </c>
    </row>
    <row r="961" spans="1:5" x14ac:dyDescent="0.35">
      <c r="A961" s="2" t="s">
        <v>338</v>
      </c>
      <c r="B961" s="2" t="s">
        <v>4</v>
      </c>
      <c r="C961" s="3">
        <v>1808.44</v>
      </c>
      <c r="D961" s="1">
        <v>2030</v>
      </c>
      <c r="E961" t="s">
        <v>2003</v>
      </c>
    </row>
    <row r="962" spans="1:5" x14ac:dyDescent="0.35">
      <c r="A962" s="2" t="s">
        <v>876</v>
      </c>
      <c r="B962" s="2" t="s">
        <v>4</v>
      </c>
      <c r="C962" s="3">
        <v>2675.23</v>
      </c>
      <c r="D962" s="1">
        <v>3000</v>
      </c>
      <c r="E962" t="s">
        <v>2004</v>
      </c>
    </row>
    <row r="963" spans="1:5" x14ac:dyDescent="0.35">
      <c r="A963" s="2" t="s">
        <v>877</v>
      </c>
      <c r="B963" s="2" t="s">
        <v>4</v>
      </c>
      <c r="C963" s="3">
        <v>1669.05</v>
      </c>
      <c r="D963" s="1">
        <v>1870</v>
      </c>
      <c r="E963" t="s">
        <v>2005</v>
      </c>
    </row>
    <row r="964" spans="1:5" x14ac:dyDescent="0.35">
      <c r="A964" s="2" t="s">
        <v>339</v>
      </c>
      <c r="B964" s="2" t="s">
        <v>4</v>
      </c>
      <c r="C964" s="3">
        <v>1861.94</v>
      </c>
      <c r="D964" s="1">
        <v>2090</v>
      </c>
      <c r="E964" t="s">
        <v>2006</v>
      </c>
    </row>
    <row r="965" spans="1:5" x14ac:dyDescent="0.35">
      <c r="A965" s="2" t="s">
        <v>878</v>
      </c>
      <c r="B965" s="2" t="s">
        <v>374</v>
      </c>
      <c r="C965" s="3">
        <v>129.79</v>
      </c>
      <c r="D965" s="1">
        <v>150</v>
      </c>
      <c r="E965" t="s">
        <v>2007</v>
      </c>
    </row>
    <row r="966" spans="1:5" x14ac:dyDescent="0.35">
      <c r="A966" s="2" t="s">
        <v>878</v>
      </c>
      <c r="B966" s="2" t="s">
        <v>5</v>
      </c>
      <c r="C966" s="3">
        <v>267.89999999999998</v>
      </c>
      <c r="D966" s="1">
        <v>310</v>
      </c>
      <c r="E966" t="s">
        <v>2007</v>
      </c>
    </row>
    <row r="967" spans="1:5" x14ac:dyDescent="0.35">
      <c r="A967" s="2" t="s">
        <v>878</v>
      </c>
      <c r="B967" s="2" t="s">
        <v>4</v>
      </c>
      <c r="C967" s="3">
        <v>526.28</v>
      </c>
      <c r="D967" s="1">
        <v>590</v>
      </c>
      <c r="E967" t="s">
        <v>2007</v>
      </c>
    </row>
    <row r="968" spans="1:5" x14ac:dyDescent="0.35">
      <c r="A968" s="2" t="s">
        <v>879</v>
      </c>
      <c r="B968" s="2" t="s">
        <v>374</v>
      </c>
      <c r="C968" s="3">
        <v>177.24</v>
      </c>
      <c r="D968" s="1">
        <v>200</v>
      </c>
      <c r="E968" t="s">
        <v>2008</v>
      </c>
    </row>
    <row r="969" spans="1:5" x14ac:dyDescent="0.35">
      <c r="A969" s="2" t="s">
        <v>879</v>
      </c>
      <c r="B969" s="2" t="s">
        <v>5</v>
      </c>
      <c r="C969" s="3">
        <v>362.54</v>
      </c>
      <c r="D969" s="1">
        <v>410</v>
      </c>
      <c r="E969" t="s">
        <v>2008</v>
      </c>
    </row>
    <row r="970" spans="1:5" x14ac:dyDescent="0.35">
      <c r="A970" s="2" t="s">
        <v>879</v>
      </c>
      <c r="B970" s="2" t="s">
        <v>4</v>
      </c>
      <c r="C970" s="3">
        <v>695.17</v>
      </c>
      <c r="D970" s="1">
        <v>780</v>
      </c>
      <c r="E970" t="s">
        <v>2008</v>
      </c>
    </row>
    <row r="971" spans="1:5" x14ac:dyDescent="0.35">
      <c r="A971" s="2" t="s">
        <v>880</v>
      </c>
      <c r="B971" s="2" t="s">
        <v>375</v>
      </c>
      <c r="C971" s="3">
        <v>97.3</v>
      </c>
      <c r="D971" s="1">
        <v>110</v>
      </c>
      <c r="E971" t="s">
        <v>2009</v>
      </c>
    </row>
    <row r="972" spans="1:5" x14ac:dyDescent="0.35">
      <c r="A972" s="2" t="s">
        <v>880</v>
      </c>
      <c r="B972" s="2" t="s">
        <v>5</v>
      </c>
      <c r="C972" s="3">
        <v>140.75</v>
      </c>
      <c r="D972" s="1">
        <v>160</v>
      </c>
      <c r="E972" t="s">
        <v>2009</v>
      </c>
    </row>
    <row r="973" spans="1:5" x14ac:dyDescent="0.35">
      <c r="A973" s="2" t="s">
        <v>880</v>
      </c>
      <c r="B973" s="2" t="s">
        <v>4</v>
      </c>
      <c r="C973" s="3">
        <v>184.98</v>
      </c>
      <c r="D973" s="1">
        <v>210</v>
      </c>
      <c r="E973" t="s">
        <v>2009</v>
      </c>
    </row>
    <row r="974" spans="1:5" x14ac:dyDescent="0.35">
      <c r="A974" s="2" t="s">
        <v>881</v>
      </c>
      <c r="B974" s="2" t="s">
        <v>375</v>
      </c>
      <c r="C974" s="3">
        <v>238.07</v>
      </c>
      <c r="D974" s="1">
        <v>270</v>
      </c>
      <c r="E974" t="s">
        <v>2010</v>
      </c>
    </row>
    <row r="975" spans="1:5" x14ac:dyDescent="0.35">
      <c r="A975" s="2" t="s">
        <v>340</v>
      </c>
      <c r="B975" s="2" t="s">
        <v>5</v>
      </c>
      <c r="C975" s="3">
        <v>117.64</v>
      </c>
      <c r="D975" s="1">
        <v>140</v>
      </c>
      <c r="E975" t="s">
        <v>2011</v>
      </c>
    </row>
    <row r="976" spans="1:5" x14ac:dyDescent="0.35">
      <c r="A976" s="2" t="s">
        <v>341</v>
      </c>
      <c r="B976" s="2" t="s">
        <v>375</v>
      </c>
      <c r="C976" s="3">
        <v>131.24</v>
      </c>
      <c r="D976" s="1">
        <v>150</v>
      </c>
      <c r="E976" t="s">
        <v>2012</v>
      </c>
    </row>
    <row r="977" spans="1:5" x14ac:dyDescent="0.35">
      <c r="A977" s="2" t="s">
        <v>342</v>
      </c>
      <c r="B977" s="2" t="s">
        <v>375</v>
      </c>
      <c r="C977" s="3">
        <v>147</v>
      </c>
      <c r="D977" s="1">
        <v>170</v>
      </c>
      <c r="E977" t="s">
        <v>2013</v>
      </c>
    </row>
    <row r="978" spans="1:5" x14ac:dyDescent="0.35">
      <c r="A978" s="2" t="s">
        <v>882</v>
      </c>
      <c r="B978" s="2" t="s">
        <v>375</v>
      </c>
      <c r="C978" s="3">
        <v>170.24</v>
      </c>
      <c r="D978" s="1">
        <v>200</v>
      </c>
      <c r="E978" t="s">
        <v>2014</v>
      </c>
    </row>
    <row r="979" spans="1:5" x14ac:dyDescent="0.35">
      <c r="A979" s="2" t="s">
        <v>883</v>
      </c>
      <c r="B979" s="2" t="s">
        <v>375</v>
      </c>
      <c r="C979" s="3">
        <v>207.2</v>
      </c>
      <c r="D979" s="1">
        <v>240</v>
      </c>
      <c r="E979" t="s">
        <v>2014</v>
      </c>
    </row>
    <row r="980" spans="1:5" x14ac:dyDescent="0.35">
      <c r="A980" s="2" t="s">
        <v>884</v>
      </c>
      <c r="B980" s="2" t="s">
        <v>5</v>
      </c>
      <c r="C980" s="3">
        <v>168.56</v>
      </c>
      <c r="D980" s="1">
        <v>190</v>
      </c>
      <c r="E980" t="s">
        <v>2015</v>
      </c>
    </row>
    <row r="981" spans="1:5" x14ac:dyDescent="0.35">
      <c r="A981" s="2" t="s">
        <v>885</v>
      </c>
      <c r="B981" s="2" t="s">
        <v>5</v>
      </c>
      <c r="C981" s="3">
        <v>121.47</v>
      </c>
      <c r="D981" s="1">
        <v>140</v>
      </c>
      <c r="E981" t="s">
        <v>2016</v>
      </c>
    </row>
    <row r="982" spans="1:5" x14ac:dyDescent="0.35">
      <c r="A982" s="2" t="s">
        <v>343</v>
      </c>
      <c r="B982" s="2" t="s">
        <v>5</v>
      </c>
      <c r="C982" s="3">
        <v>131.21</v>
      </c>
      <c r="D982" s="1">
        <v>150</v>
      </c>
      <c r="E982" t="s">
        <v>2017</v>
      </c>
    </row>
    <row r="983" spans="1:5" x14ac:dyDescent="0.35">
      <c r="A983" s="2" t="s">
        <v>886</v>
      </c>
      <c r="B983" s="2" t="s">
        <v>5</v>
      </c>
      <c r="C983" s="3">
        <v>140.85</v>
      </c>
      <c r="D983" s="1">
        <v>160</v>
      </c>
      <c r="E983" t="s">
        <v>2018</v>
      </c>
    </row>
    <row r="984" spans="1:5" x14ac:dyDescent="0.35">
      <c r="A984" s="2" t="s">
        <v>886</v>
      </c>
      <c r="B984" s="2" t="s">
        <v>4</v>
      </c>
      <c r="C984" s="3">
        <v>185.1</v>
      </c>
      <c r="D984" s="1">
        <v>210</v>
      </c>
      <c r="E984" t="s">
        <v>2018</v>
      </c>
    </row>
    <row r="985" spans="1:5" x14ac:dyDescent="0.35">
      <c r="A985" s="2" t="s">
        <v>887</v>
      </c>
      <c r="B985" s="2" t="s">
        <v>5</v>
      </c>
      <c r="C985" s="3">
        <v>133.27000000000001</v>
      </c>
      <c r="D985" s="1">
        <v>150</v>
      </c>
      <c r="E985" t="s">
        <v>2019</v>
      </c>
    </row>
    <row r="986" spans="1:5" x14ac:dyDescent="0.35">
      <c r="A986" s="2" t="s">
        <v>888</v>
      </c>
      <c r="B986" s="2" t="s">
        <v>375</v>
      </c>
      <c r="C986" s="3">
        <v>97.41</v>
      </c>
      <c r="D986" s="1">
        <v>110</v>
      </c>
      <c r="E986" t="s">
        <v>2020</v>
      </c>
    </row>
    <row r="987" spans="1:5" x14ac:dyDescent="0.35">
      <c r="A987" s="2" t="s">
        <v>889</v>
      </c>
      <c r="B987" s="2" t="s">
        <v>5</v>
      </c>
      <c r="C987" s="3">
        <v>160.11000000000001</v>
      </c>
      <c r="D987" s="1">
        <v>180</v>
      </c>
      <c r="E987" t="s">
        <v>2021</v>
      </c>
    </row>
    <row r="988" spans="1:5" x14ac:dyDescent="0.35">
      <c r="A988" s="2" t="s">
        <v>890</v>
      </c>
      <c r="B988" s="2" t="s">
        <v>375</v>
      </c>
      <c r="C988" s="3">
        <v>106.87</v>
      </c>
      <c r="D988" s="1">
        <v>120</v>
      </c>
      <c r="E988" t="s">
        <v>2022</v>
      </c>
    </row>
    <row r="989" spans="1:5" x14ac:dyDescent="0.35">
      <c r="A989" s="2" t="s">
        <v>891</v>
      </c>
      <c r="B989" s="2" t="s">
        <v>375</v>
      </c>
      <c r="C989" s="3">
        <v>223.52</v>
      </c>
      <c r="D989" s="1">
        <v>260</v>
      </c>
      <c r="E989" t="s">
        <v>2023</v>
      </c>
    </row>
    <row r="990" spans="1:5" x14ac:dyDescent="0.35">
      <c r="A990" s="2" t="s">
        <v>344</v>
      </c>
      <c r="B990" s="2" t="s">
        <v>5</v>
      </c>
      <c r="C990" s="3">
        <v>111.87</v>
      </c>
      <c r="D990" s="1">
        <v>130</v>
      </c>
      <c r="E990" t="s">
        <v>2024</v>
      </c>
    </row>
    <row r="991" spans="1:5" x14ac:dyDescent="0.35">
      <c r="A991" s="2" t="s">
        <v>345</v>
      </c>
      <c r="B991" s="2" t="s">
        <v>5</v>
      </c>
      <c r="C991" s="3">
        <v>159.41999999999999</v>
      </c>
      <c r="D991" s="1">
        <v>180</v>
      </c>
      <c r="E991" t="s">
        <v>2025</v>
      </c>
    </row>
    <row r="992" spans="1:5" x14ac:dyDescent="0.35">
      <c r="A992" s="2" t="s">
        <v>892</v>
      </c>
      <c r="B992" s="2" t="s">
        <v>5</v>
      </c>
      <c r="C992" s="3">
        <v>184.17</v>
      </c>
      <c r="D992" s="1">
        <v>210</v>
      </c>
      <c r="E992" t="s">
        <v>2026</v>
      </c>
    </row>
    <row r="993" spans="1:5" x14ac:dyDescent="0.35">
      <c r="A993" s="2" t="s">
        <v>893</v>
      </c>
      <c r="B993" s="2" t="s">
        <v>375</v>
      </c>
      <c r="C993" s="3">
        <v>166.84</v>
      </c>
      <c r="D993" s="1">
        <v>190</v>
      </c>
      <c r="E993" t="s">
        <v>2027</v>
      </c>
    </row>
    <row r="994" spans="1:5" x14ac:dyDescent="0.35">
      <c r="A994" s="2" t="s">
        <v>894</v>
      </c>
      <c r="B994" s="2" t="s">
        <v>4</v>
      </c>
      <c r="C994" s="3">
        <v>184.92</v>
      </c>
      <c r="D994" s="1">
        <v>210</v>
      </c>
      <c r="E994" t="s">
        <v>2028</v>
      </c>
    </row>
    <row r="995" spans="1:5" x14ac:dyDescent="0.35">
      <c r="A995" s="2" t="s">
        <v>895</v>
      </c>
      <c r="B995" s="2" t="s">
        <v>5</v>
      </c>
      <c r="C995" s="3">
        <v>140.75</v>
      </c>
      <c r="D995" s="1">
        <v>160</v>
      </c>
      <c r="E995" t="s">
        <v>2029</v>
      </c>
    </row>
    <row r="996" spans="1:5" x14ac:dyDescent="0.35">
      <c r="A996" s="2" t="s">
        <v>896</v>
      </c>
      <c r="B996" s="2" t="s">
        <v>375</v>
      </c>
      <c r="C996" s="3">
        <v>87.48</v>
      </c>
      <c r="D996" s="1">
        <v>100</v>
      </c>
      <c r="E996" t="s">
        <v>2030</v>
      </c>
    </row>
    <row r="997" spans="1:5" x14ac:dyDescent="0.35">
      <c r="A997" s="2" t="s">
        <v>896</v>
      </c>
      <c r="B997" s="2" t="s">
        <v>5</v>
      </c>
      <c r="C997" s="3">
        <v>131.19999999999999</v>
      </c>
      <c r="D997" s="1">
        <v>150</v>
      </c>
      <c r="E997" t="s">
        <v>2030</v>
      </c>
    </row>
    <row r="998" spans="1:5" x14ac:dyDescent="0.35">
      <c r="A998" s="2" t="s">
        <v>896</v>
      </c>
      <c r="B998" s="2" t="s">
        <v>4</v>
      </c>
      <c r="C998" s="3">
        <v>165.55</v>
      </c>
      <c r="D998" s="1">
        <v>190</v>
      </c>
      <c r="E998" t="s">
        <v>2030</v>
      </c>
    </row>
    <row r="999" spans="1:5" x14ac:dyDescent="0.35">
      <c r="A999" s="2" t="s">
        <v>897</v>
      </c>
      <c r="B999" s="2" t="s">
        <v>5</v>
      </c>
      <c r="C999" s="3">
        <v>186.64</v>
      </c>
      <c r="D999" s="1">
        <v>210</v>
      </c>
      <c r="E999" t="s">
        <v>2031</v>
      </c>
    </row>
    <row r="1000" spans="1:5" x14ac:dyDescent="0.35">
      <c r="A1000" s="2" t="s">
        <v>898</v>
      </c>
      <c r="B1000" s="2" t="s">
        <v>5</v>
      </c>
      <c r="C1000" s="3">
        <v>198.3</v>
      </c>
      <c r="D1000" s="1">
        <v>230</v>
      </c>
      <c r="E1000" t="s">
        <v>2032</v>
      </c>
    </row>
    <row r="1001" spans="1:5" x14ac:dyDescent="0.35">
      <c r="A1001" s="2" t="s">
        <v>346</v>
      </c>
      <c r="B1001" s="2" t="s">
        <v>375</v>
      </c>
      <c r="C1001" s="3">
        <v>135.38999999999999</v>
      </c>
      <c r="D1001" s="1">
        <v>160</v>
      </c>
      <c r="E1001" t="s">
        <v>2033</v>
      </c>
    </row>
    <row r="1002" spans="1:5" x14ac:dyDescent="0.35">
      <c r="A1002" s="2" t="s">
        <v>899</v>
      </c>
      <c r="B1002" s="2" t="s">
        <v>5</v>
      </c>
      <c r="C1002" s="3">
        <v>111.87</v>
      </c>
      <c r="D1002" s="1">
        <v>130</v>
      </c>
      <c r="E1002" t="s">
        <v>2034</v>
      </c>
    </row>
    <row r="1003" spans="1:5" x14ac:dyDescent="0.35">
      <c r="A1003" s="2" t="s">
        <v>900</v>
      </c>
      <c r="B1003" s="2" t="s">
        <v>375</v>
      </c>
      <c r="C1003" s="3">
        <v>205</v>
      </c>
      <c r="D1003" s="1">
        <v>230</v>
      </c>
      <c r="E1003" t="s">
        <v>2035</v>
      </c>
    </row>
    <row r="1004" spans="1:5" x14ac:dyDescent="0.35">
      <c r="A1004" s="2" t="s">
        <v>347</v>
      </c>
      <c r="B1004" s="2" t="s">
        <v>375</v>
      </c>
      <c r="C1004" s="3">
        <v>87.81</v>
      </c>
      <c r="D1004" s="1">
        <v>100</v>
      </c>
      <c r="E1004" t="s">
        <v>2036</v>
      </c>
    </row>
    <row r="1005" spans="1:5" x14ac:dyDescent="0.35">
      <c r="A1005" s="2" t="s">
        <v>348</v>
      </c>
      <c r="B1005" s="2" t="s">
        <v>5</v>
      </c>
      <c r="C1005" s="3">
        <v>147.37</v>
      </c>
      <c r="D1005" s="1">
        <v>170</v>
      </c>
      <c r="E1005" t="s">
        <v>2036</v>
      </c>
    </row>
    <row r="1006" spans="1:5" x14ac:dyDescent="0.35">
      <c r="A1006" s="2" t="s">
        <v>349</v>
      </c>
      <c r="B1006" s="2" t="s">
        <v>4</v>
      </c>
      <c r="C1006" s="3">
        <v>185.08</v>
      </c>
      <c r="D1006" s="1">
        <v>210</v>
      </c>
      <c r="E1006" t="s">
        <v>2037</v>
      </c>
    </row>
    <row r="1007" spans="1:5" x14ac:dyDescent="0.35">
      <c r="A1007" s="2" t="s">
        <v>350</v>
      </c>
      <c r="B1007" s="2" t="s">
        <v>5</v>
      </c>
      <c r="C1007" s="3">
        <v>140.72999999999999</v>
      </c>
      <c r="D1007" s="1">
        <v>160</v>
      </c>
      <c r="E1007" t="s">
        <v>2038</v>
      </c>
    </row>
    <row r="1008" spans="1:5" x14ac:dyDescent="0.35">
      <c r="A1008" s="2" t="s">
        <v>901</v>
      </c>
      <c r="B1008" s="2" t="s">
        <v>375</v>
      </c>
      <c r="C1008" s="3">
        <v>87.66</v>
      </c>
      <c r="D1008" s="1">
        <v>100</v>
      </c>
      <c r="E1008" t="s">
        <v>2039</v>
      </c>
    </row>
    <row r="1009" spans="1:5" x14ac:dyDescent="0.35">
      <c r="A1009" s="2" t="s">
        <v>902</v>
      </c>
      <c r="B1009" s="2" t="s">
        <v>5</v>
      </c>
      <c r="C1009" s="3">
        <v>253.74</v>
      </c>
      <c r="D1009" s="1">
        <v>290</v>
      </c>
      <c r="E1009" t="s">
        <v>2040</v>
      </c>
    </row>
    <row r="1010" spans="1:5" x14ac:dyDescent="0.35">
      <c r="A1010" s="2" t="s">
        <v>903</v>
      </c>
      <c r="B1010" s="2" t="s">
        <v>5</v>
      </c>
      <c r="C1010" s="3">
        <v>257.16000000000003</v>
      </c>
      <c r="D1010" s="1">
        <v>290</v>
      </c>
      <c r="E1010" t="s">
        <v>2041</v>
      </c>
    </row>
    <row r="1011" spans="1:5" x14ac:dyDescent="0.35">
      <c r="A1011" s="2" t="s">
        <v>351</v>
      </c>
      <c r="B1011" s="2" t="s">
        <v>375</v>
      </c>
      <c r="C1011" s="3">
        <v>144.97</v>
      </c>
      <c r="D1011" s="1">
        <v>170</v>
      </c>
      <c r="E1011" t="s">
        <v>2042</v>
      </c>
    </row>
    <row r="1012" spans="1:5" x14ac:dyDescent="0.35">
      <c r="A1012" s="2" t="s">
        <v>352</v>
      </c>
      <c r="B1012" s="2" t="s">
        <v>5</v>
      </c>
      <c r="C1012" s="3">
        <v>217.26</v>
      </c>
      <c r="D1012" s="1">
        <v>250</v>
      </c>
      <c r="E1012" t="s">
        <v>2042</v>
      </c>
    </row>
    <row r="1013" spans="1:5" x14ac:dyDescent="0.35">
      <c r="A1013" s="2" t="s">
        <v>904</v>
      </c>
      <c r="B1013" s="2" t="s">
        <v>375</v>
      </c>
      <c r="C1013" s="3">
        <v>159.83000000000001</v>
      </c>
      <c r="D1013" s="1">
        <v>180</v>
      </c>
      <c r="E1013" t="s">
        <v>2043</v>
      </c>
    </row>
    <row r="1014" spans="1:5" x14ac:dyDescent="0.35">
      <c r="A1014" s="2" t="s">
        <v>353</v>
      </c>
      <c r="B1014" s="2" t="s">
        <v>5</v>
      </c>
      <c r="C1014" s="3">
        <v>155.61000000000001</v>
      </c>
      <c r="D1014" s="1">
        <v>180</v>
      </c>
      <c r="E1014" t="s">
        <v>2044</v>
      </c>
    </row>
    <row r="1015" spans="1:5" x14ac:dyDescent="0.35">
      <c r="A1015" s="2" t="s">
        <v>354</v>
      </c>
      <c r="B1015" s="2" t="s">
        <v>375</v>
      </c>
      <c r="C1015" s="3">
        <v>145</v>
      </c>
      <c r="D1015" s="1">
        <v>170</v>
      </c>
      <c r="E1015" t="s">
        <v>2045</v>
      </c>
    </row>
    <row r="1016" spans="1:5" x14ac:dyDescent="0.35">
      <c r="A1016" s="2" t="s">
        <v>355</v>
      </c>
      <c r="B1016" s="2" t="s">
        <v>5</v>
      </c>
      <c r="C1016" s="3">
        <v>144.33000000000001</v>
      </c>
      <c r="D1016" s="1">
        <v>170</v>
      </c>
      <c r="E1016" t="s">
        <v>2046</v>
      </c>
    </row>
    <row r="1017" spans="1:5" x14ac:dyDescent="0.35">
      <c r="A1017" s="2" t="s">
        <v>905</v>
      </c>
      <c r="B1017" s="2" t="s">
        <v>375</v>
      </c>
      <c r="C1017" s="3">
        <v>176.52</v>
      </c>
      <c r="D1017" s="1">
        <v>200</v>
      </c>
      <c r="E1017" t="s">
        <v>2047</v>
      </c>
    </row>
    <row r="1018" spans="1:5" x14ac:dyDescent="0.35">
      <c r="A1018" s="2" t="s">
        <v>906</v>
      </c>
      <c r="B1018" s="2" t="s">
        <v>5</v>
      </c>
      <c r="C1018" s="3">
        <v>121.49</v>
      </c>
      <c r="D1018" s="1">
        <v>140</v>
      </c>
      <c r="E1018" t="s">
        <v>2048</v>
      </c>
    </row>
    <row r="1019" spans="1:5" x14ac:dyDescent="0.35">
      <c r="A1019" s="2" t="s">
        <v>907</v>
      </c>
      <c r="B1019" s="2" t="s">
        <v>5</v>
      </c>
      <c r="C1019" s="3">
        <v>118.03</v>
      </c>
      <c r="D1019" s="1">
        <v>140</v>
      </c>
      <c r="E1019" t="s">
        <v>2049</v>
      </c>
    </row>
    <row r="1020" spans="1:5" x14ac:dyDescent="0.35">
      <c r="A1020" s="2" t="s">
        <v>907</v>
      </c>
      <c r="B1020" s="2" t="s">
        <v>4</v>
      </c>
      <c r="C1020" s="3">
        <v>165.82</v>
      </c>
      <c r="D1020" s="1">
        <v>190</v>
      </c>
      <c r="E1020" t="s">
        <v>2049</v>
      </c>
    </row>
    <row r="1021" spans="1:5" x14ac:dyDescent="0.35">
      <c r="A1021" s="2" t="s">
        <v>908</v>
      </c>
      <c r="B1021" s="2" t="s">
        <v>5</v>
      </c>
      <c r="C1021" s="3">
        <v>103.63</v>
      </c>
      <c r="D1021" s="1">
        <v>120</v>
      </c>
      <c r="E1021" t="s">
        <v>2050</v>
      </c>
    </row>
    <row r="1022" spans="1:5" x14ac:dyDescent="0.35">
      <c r="A1022" s="2" t="s">
        <v>356</v>
      </c>
      <c r="B1022" s="2" t="s">
        <v>5</v>
      </c>
      <c r="C1022" s="3">
        <v>104.75</v>
      </c>
      <c r="D1022" s="1">
        <v>120</v>
      </c>
      <c r="E1022" t="s">
        <v>2051</v>
      </c>
    </row>
    <row r="1023" spans="1:5" x14ac:dyDescent="0.35">
      <c r="A1023" s="2" t="s">
        <v>909</v>
      </c>
      <c r="B1023" s="2" t="s">
        <v>375</v>
      </c>
      <c r="C1023" s="3">
        <v>152.04</v>
      </c>
      <c r="D1023" s="1">
        <v>180</v>
      </c>
      <c r="E1023" t="s">
        <v>2052</v>
      </c>
    </row>
    <row r="1024" spans="1:5" x14ac:dyDescent="0.35">
      <c r="A1024" s="2" t="s">
        <v>910</v>
      </c>
      <c r="B1024" s="2" t="s">
        <v>375</v>
      </c>
      <c r="C1024" s="3">
        <v>154.44</v>
      </c>
      <c r="D1024" s="1">
        <v>180</v>
      </c>
      <c r="E1024" t="s">
        <v>2053</v>
      </c>
    </row>
    <row r="1025" spans="1:5" x14ac:dyDescent="0.35">
      <c r="A1025" s="2" t="s">
        <v>911</v>
      </c>
      <c r="B1025" s="2" t="s">
        <v>5</v>
      </c>
      <c r="C1025" s="3">
        <v>106.5</v>
      </c>
      <c r="D1025" s="1">
        <v>120</v>
      </c>
      <c r="E1025" t="s">
        <v>2054</v>
      </c>
    </row>
    <row r="1026" spans="1:5" x14ac:dyDescent="0.35">
      <c r="A1026" s="2" t="s">
        <v>912</v>
      </c>
      <c r="B1026" s="2" t="s">
        <v>375</v>
      </c>
      <c r="C1026" s="3">
        <v>95.31</v>
      </c>
      <c r="D1026" s="1">
        <v>110</v>
      </c>
      <c r="E1026" t="s">
        <v>2055</v>
      </c>
    </row>
    <row r="1027" spans="1:5" x14ac:dyDescent="0.35">
      <c r="A1027" s="2" t="s">
        <v>913</v>
      </c>
      <c r="B1027" s="2" t="s">
        <v>5</v>
      </c>
      <c r="C1027" s="3">
        <v>150.4</v>
      </c>
      <c r="D1027" s="1">
        <v>170</v>
      </c>
      <c r="E1027" t="s">
        <v>2055</v>
      </c>
    </row>
    <row r="1028" spans="1:5" x14ac:dyDescent="0.35">
      <c r="A1028" s="2" t="s">
        <v>914</v>
      </c>
      <c r="B1028" s="2" t="s">
        <v>375</v>
      </c>
      <c r="C1028" s="3">
        <v>157.02000000000001</v>
      </c>
      <c r="D1028" s="1">
        <v>180</v>
      </c>
      <c r="E1028" t="s">
        <v>2056</v>
      </c>
    </row>
    <row r="1029" spans="1:5" x14ac:dyDescent="0.35">
      <c r="A1029" s="2" t="s">
        <v>915</v>
      </c>
      <c r="B1029" s="2" t="s">
        <v>375</v>
      </c>
      <c r="C1029" s="3">
        <v>160.19999999999999</v>
      </c>
      <c r="D1029" s="1">
        <v>180</v>
      </c>
      <c r="E1029" t="s">
        <v>2057</v>
      </c>
    </row>
    <row r="1030" spans="1:5" x14ac:dyDescent="0.35">
      <c r="A1030" s="2" t="s">
        <v>916</v>
      </c>
      <c r="B1030" s="2" t="s">
        <v>375</v>
      </c>
      <c r="C1030" s="3">
        <v>143.41999999999999</v>
      </c>
      <c r="D1030" s="1">
        <v>170</v>
      </c>
      <c r="E1030" t="s">
        <v>2058</v>
      </c>
    </row>
    <row r="1031" spans="1:5" x14ac:dyDescent="0.35">
      <c r="A1031" s="2" t="s">
        <v>916</v>
      </c>
      <c r="B1031" s="2" t="s">
        <v>5</v>
      </c>
      <c r="C1031" s="3">
        <v>217.28</v>
      </c>
      <c r="D1031" s="1">
        <v>250</v>
      </c>
      <c r="E1031" t="s">
        <v>2058</v>
      </c>
    </row>
    <row r="1032" spans="1:5" x14ac:dyDescent="0.35">
      <c r="A1032" s="2" t="s">
        <v>917</v>
      </c>
      <c r="B1032" s="2" t="s">
        <v>5</v>
      </c>
      <c r="C1032" s="3">
        <v>196</v>
      </c>
      <c r="D1032" s="1">
        <v>220</v>
      </c>
      <c r="E1032" t="s">
        <v>2059</v>
      </c>
    </row>
    <row r="1033" spans="1:5" x14ac:dyDescent="0.35">
      <c r="A1033" s="2" t="s">
        <v>918</v>
      </c>
      <c r="B1033" s="2" t="s">
        <v>375</v>
      </c>
      <c r="C1033" s="3">
        <v>192</v>
      </c>
      <c r="D1033" s="1">
        <v>220</v>
      </c>
      <c r="E1033" t="s">
        <v>2060</v>
      </c>
    </row>
    <row r="1034" spans="1:5" x14ac:dyDescent="0.35">
      <c r="A1034" s="2" t="s">
        <v>919</v>
      </c>
      <c r="B1034" s="2" t="s">
        <v>5</v>
      </c>
      <c r="C1034" s="3">
        <v>209.98</v>
      </c>
      <c r="D1034" s="1">
        <v>240</v>
      </c>
      <c r="E1034" t="s">
        <v>2061</v>
      </c>
    </row>
    <row r="1035" spans="1:5" x14ac:dyDescent="0.35">
      <c r="A1035" s="2" t="s">
        <v>920</v>
      </c>
      <c r="B1035" s="2" t="s">
        <v>375</v>
      </c>
      <c r="C1035" s="3">
        <v>192</v>
      </c>
      <c r="D1035" s="1">
        <v>220</v>
      </c>
      <c r="E1035" t="s">
        <v>2062</v>
      </c>
    </row>
    <row r="1036" spans="1:5" x14ac:dyDescent="0.35">
      <c r="A1036" s="2" t="s">
        <v>921</v>
      </c>
      <c r="B1036" s="2" t="s">
        <v>5</v>
      </c>
      <c r="C1036" s="3">
        <v>111.87</v>
      </c>
      <c r="D1036" s="1">
        <v>130</v>
      </c>
      <c r="E1036" t="s">
        <v>2063</v>
      </c>
    </row>
    <row r="1037" spans="1:5" x14ac:dyDescent="0.35">
      <c r="A1037" s="2" t="s">
        <v>357</v>
      </c>
      <c r="B1037" s="2" t="s">
        <v>375</v>
      </c>
      <c r="C1037" s="3">
        <v>193.75</v>
      </c>
      <c r="D1037" s="1">
        <v>220</v>
      </c>
      <c r="E1037" t="s">
        <v>2064</v>
      </c>
    </row>
    <row r="1038" spans="1:5" x14ac:dyDescent="0.35">
      <c r="A1038" s="2" t="s">
        <v>358</v>
      </c>
      <c r="B1038" s="2" t="s">
        <v>375</v>
      </c>
      <c r="C1038" s="3">
        <v>106.72</v>
      </c>
      <c r="D1038" s="1">
        <v>120</v>
      </c>
      <c r="E1038" t="s">
        <v>2065</v>
      </c>
    </row>
    <row r="1039" spans="1:5" x14ac:dyDescent="0.35">
      <c r="A1039" s="2" t="s">
        <v>922</v>
      </c>
      <c r="B1039" s="2" t="s">
        <v>375</v>
      </c>
      <c r="C1039" s="3">
        <v>186.77</v>
      </c>
      <c r="D1039" s="1">
        <v>210</v>
      </c>
      <c r="E1039" t="s">
        <v>2066</v>
      </c>
    </row>
    <row r="1040" spans="1:5" x14ac:dyDescent="0.35">
      <c r="A1040" s="2" t="s">
        <v>923</v>
      </c>
      <c r="B1040" s="2" t="s">
        <v>375</v>
      </c>
      <c r="C1040" s="3">
        <v>69.94</v>
      </c>
      <c r="D1040" s="1">
        <v>80</v>
      </c>
      <c r="E1040" t="s">
        <v>2067</v>
      </c>
    </row>
    <row r="1041" spans="1:5" x14ac:dyDescent="0.35">
      <c r="A1041" s="2" t="s">
        <v>923</v>
      </c>
      <c r="B1041" s="2" t="s">
        <v>5</v>
      </c>
      <c r="C1041" s="3">
        <v>104.45</v>
      </c>
      <c r="D1041" s="1">
        <v>120</v>
      </c>
      <c r="E1041" t="s">
        <v>2067</v>
      </c>
    </row>
    <row r="1042" spans="1:5" x14ac:dyDescent="0.35">
      <c r="A1042" s="2" t="s">
        <v>923</v>
      </c>
      <c r="B1042" s="2" t="s">
        <v>4</v>
      </c>
      <c r="C1042" s="3">
        <v>140.18</v>
      </c>
      <c r="D1042" s="1">
        <v>160</v>
      </c>
      <c r="E1042" t="s">
        <v>2067</v>
      </c>
    </row>
    <row r="1043" spans="1:5" x14ac:dyDescent="0.35">
      <c r="A1043" s="2" t="s">
        <v>359</v>
      </c>
      <c r="B1043" s="2" t="s">
        <v>5</v>
      </c>
      <c r="C1043" s="3">
        <v>121.43</v>
      </c>
      <c r="D1043" s="1">
        <v>140</v>
      </c>
      <c r="E1043" t="s">
        <v>2068</v>
      </c>
    </row>
    <row r="1044" spans="1:5" x14ac:dyDescent="0.35">
      <c r="A1044" s="2" t="s">
        <v>360</v>
      </c>
      <c r="B1044" s="2" t="s">
        <v>4</v>
      </c>
      <c r="C1044" s="3">
        <v>165.8</v>
      </c>
      <c r="D1044" s="1">
        <v>190</v>
      </c>
      <c r="E1044" t="s">
        <v>2068</v>
      </c>
    </row>
    <row r="1045" spans="1:5" x14ac:dyDescent="0.35">
      <c r="A1045" s="2" t="s">
        <v>924</v>
      </c>
      <c r="B1045" s="2" t="s">
        <v>5</v>
      </c>
      <c r="C1045" s="3">
        <v>139.1</v>
      </c>
      <c r="D1045" s="1">
        <v>160</v>
      </c>
      <c r="E1045" t="s">
        <v>2069</v>
      </c>
    </row>
    <row r="1046" spans="1:5" x14ac:dyDescent="0.35">
      <c r="A1046" s="2" t="s">
        <v>925</v>
      </c>
      <c r="B1046" s="2" t="s">
        <v>5</v>
      </c>
      <c r="C1046" s="3">
        <v>111.87</v>
      </c>
      <c r="D1046" s="1">
        <v>130</v>
      </c>
      <c r="E1046" t="s">
        <v>2070</v>
      </c>
    </row>
    <row r="1047" spans="1:5" x14ac:dyDescent="0.35">
      <c r="A1047" s="2" t="s">
        <v>361</v>
      </c>
      <c r="B1047" s="2" t="s">
        <v>4</v>
      </c>
      <c r="C1047" s="3">
        <v>146.43</v>
      </c>
      <c r="D1047" s="1">
        <v>170</v>
      </c>
      <c r="E1047" t="s">
        <v>2070</v>
      </c>
    </row>
    <row r="1048" spans="1:5" x14ac:dyDescent="0.35">
      <c r="A1048" s="2" t="s">
        <v>926</v>
      </c>
      <c r="B1048" s="2" t="s">
        <v>375</v>
      </c>
      <c r="C1048" s="3">
        <v>87.59</v>
      </c>
      <c r="D1048" s="1">
        <v>100</v>
      </c>
      <c r="E1048" t="s">
        <v>2071</v>
      </c>
    </row>
    <row r="1049" spans="1:5" x14ac:dyDescent="0.35">
      <c r="A1049" s="2" t="s">
        <v>926</v>
      </c>
      <c r="B1049" s="2" t="s">
        <v>5</v>
      </c>
      <c r="C1049" s="3">
        <v>131.24</v>
      </c>
      <c r="D1049" s="1">
        <v>150</v>
      </c>
      <c r="E1049" t="s">
        <v>2071</v>
      </c>
    </row>
    <row r="1050" spans="1:5" x14ac:dyDescent="0.35">
      <c r="A1050" s="2" t="s">
        <v>926</v>
      </c>
      <c r="B1050" s="2" t="s">
        <v>4</v>
      </c>
      <c r="C1050" s="3">
        <v>165.55</v>
      </c>
      <c r="D1050" s="1">
        <v>190</v>
      </c>
      <c r="E1050" t="s">
        <v>2071</v>
      </c>
    </row>
    <row r="1051" spans="1:5" x14ac:dyDescent="0.35">
      <c r="A1051" s="2" t="s">
        <v>927</v>
      </c>
      <c r="B1051" s="2" t="s">
        <v>375</v>
      </c>
      <c r="C1051" s="3">
        <v>89</v>
      </c>
      <c r="D1051" s="1">
        <v>100</v>
      </c>
      <c r="E1051" t="s">
        <v>2072</v>
      </c>
    </row>
    <row r="1052" spans="1:5" x14ac:dyDescent="0.35">
      <c r="A1052" s="2" t="s">
        <v>928</v>
      </c>
      <c r="B1052" s="2" t="s">
        <v>5</v>
      </c>
      <c r="C1052" s="3">
        <v>131.22</v>
      </c>
      <c r="D1052" s="1">
        <v>150</v>
      </c>
      <c r="E1052" t="s">
        <v>2073</v>
      </c>
    </row>
    <row r="1053" spans="1:5" x14ac:dyDescent="0.35">
      <c r="A1053" s="2" t="s">
        <v>928</v>
      </c>
      <c r="B1053" s="2" t="s">
        <v>4</v>
      </c>
      <c r="C1053" s="3">
        <v>165.55</v>
      </c>
      <c r="D1053" s="1">
        <v>190</v>
      </c>
      <c r="E1053" t="s">
        <v>2073</v>
      </c>
    </row>
    <row r="1054" spans="1:5" x14ac:dyDescent="0.35">
      <c r="A1054" s="2" t="s">
        <v>362</v>
      </c>
      <c r="B1054" s="2" t="s">
        <v>5</v>
      </c>
      <c r="C1054" s="3">
        <v>108.27</v>
      </c>
      <c r="D1054" s="1">
        <v>130</v>
      </c>
      <c r="E1054" t="s">
        <v>2074</v>
      </c>
    </row>
    <row r="1055" spans="1:5" x14ac:dyDescent="0.35">
      <c r="A1055" s="2" t="s">
        <v>929</v>
      </c>
      <c r="B1055" s="2" t="s">
        <v>5</v>
      </c>
      <c r="C1055" s="3">
        <v>111.32</v>
      </c>
      <c r="D1055" s="1">
        <v>130</v>
      </c>
      <c r="E1055" t="s">
        <v>2075</v>
      </c>
    </row>
    <row r="1056" spans="1:5" x14ac:dyDescent="0.35">
      <c r="A1056" s="2" t="s">
        <v>929</v>
      </c>
      <c r="B1056" s="2" t="s">
        <v>4</v>
      </c>
      <c r="C1056" s="3">
        <v>143.74</v>
      </c>
      <c r="D1056" s="1">
        <v>170</v>
      </c>
      <c r="E1056" t="s">
        <v>2075</v>
      </c>
    </row>
    <row r="1057" spans="1:5" x14ac:dyDescent="0.35">
      <c r="A1057" s="2" t="s">
        <v>930</v>
      </c>
      <c r="B1057" s="2" t="s">
        <v>5</v>
      </c>
      <c r="C1057" s="3">
        <v>111.39</v>
      </c>
      <c r="D1057" s="1">
        <v>130</v>
      </c>
      <c r="E1057" t="s">
        <v>2076</v>
      </c>
    </row>
    <row r="1058" spans="1:5" x14ac:dyDescent="0.35">
      <c r="A1058" s="2" t="s">
        <v>931</v>
      </c>
      <c r="B1058" s="2" t="s">
        <v>5</v>
      </c>
      <c r="C1058" s="3">
        <v>140.30000000000001</v>
      </c>
      <c r="D1058" s="1">
        <v>160</v>
      </c>
      <c r="E1058" t="s">
        <v>2077</v>
      </c>
    </row>
    <row r="1059" spans="1:5" x14ac:dyDescent="0.35">
      <c r="A1059" s="2" t="s">
        <v>932</v>
      </c>
      <c r="B1059" s="2" t="s">
        <v>5</v>
      </c>
      <c r="C1059" s="3">
        <v>111.94</v>
      </c>
      <c r="D1059" s="1">
        <v>130</v>
      </c>
      <c r="E1059" t="s">
        <v>2078</v>
      </c>
    </row>
    <row r="1060" spans="1:5" x14ac:dyDescent="0.35">
      <c r="A1060" s="2" t="s">
        <v>363</v>
      </c>
      <c r="B1060" s="2" t="s">
        <v>5</v>
      </c>
      <c r="C1060" s="3">
        <v>121.32</v>
      </c>
      <c r="D1060" s="1">
        <v>140</v>
      </c>
      <c r="E1060" t="s">
        <v>2079</v>
      </c>
    </row>
    <row r="1061" spans="1:5" x14ac:dyDescent="0.35">
      <c r="A1061" s="2" t="s">
        <v>933</v>
      </c>
      <c r="B1061" s="2" t="s">
        <v>5</v>
      </c>
      <c r="C1061" s="3">
        <v>111.86</v>
      </c>
      <c r="D1061" s="1">
        <v>130</v>
      </c>
      <c r="E1061" t="s">
        <v>2080</v>
      </c>
    </row>
    <row r="1062" spans="1:5" x14ac:dyDescent="0.35">
      <c r="A1062" s="2" t="s">
        <v>934</v>
      </c>
      <c r="B1062" s="2" t="s">
        <v>5</v>
      </c>
      <c r="C1062" s="3">
        <v>111.8</v>
      </c>
      <c r="D1062" s="1">
        <v>130</v>
      </c>
      <c r="E1062" t="s">
        <v>2081</v>
      </c>
    </row>
    <row r="1063" spans="1:5" x14ac:dyDescent="0.35">
      <c r="A1063" s="2" t="s">
        <v>935</v>
      </c>
      <c r="B1063" s="2" t="s">
        <v>5</v>
      </c>
      <c r="C1063" s="3">
        <v>140.72999999999999</v>
      </c>
      <c r="D1063" s="1">
        <v>160</v>
      </c>
      <c r="E1063" t="s">
        <v>2082</v>
      </c>
    </row>
    <row r="1064" spans="1:5" x14ac:dyDescent="0.35">
      <c r="A1064" s="2" t="s">
        <v>936</v>
      </c>
      <c r="B1064" s="2" t="s">
        <v>5</v>
      </c>
      <c r="C1064" s="3">
        <v>131.28</v>
      </c>
      <c r="D1064" s="1">
        <v>150</v>
      </c>
      <c r="E1064" t="s">
        <v>2083</v>
      </c>
    </row>
    <row r="1065" spans="1:5" x14ac:dyDescent="0.35">
      <c r="A1065" s="2" t="s">
        <v>937</v>
      </c>
      <c r="B1065" s="2" t="s">
        <v>375</v>
      </c>
      <c r="C1065" s="3">
        <v>157.9</v>
      </c>
      <c r="D1065" s="1">
        <v>180</v>
      </c>
      <c r="E1065" t="s">
        <v>2084</v>
      </c>
    </row>
    <row r="1066" spans="1:5" x14ac:dyDescent="0.35">
      <c r="A1066" s="2" t="s">
        <v>938</v>
      </c>
      <c r="B1066" s="2" t="s">
        <v>5</v>
      </c>
      <c r="C1066" s="3">
        <v>111.87</v>
      </c>
      <c r="D1066" s="1">
        <v>130</v>
      </c>
      <c r="E1066" t="s">
        <v>2085</v>
      </c>
    </row>
    <row r="1067" spans="1:5" x14ac:dyDescent="0.35">
      <c r="A1067" s="2" t="s">
        <v>939</v>
      </c>
      <c r="B1067" s="2" t="s">
        <v>5</v>
      </c>
      <c r="C1067" s="3">
        <v>121.48</v>
      </c>
      <c r="D1067" s="1">
        <v>140</v>
      </c>
      <c r="E1067" t="s">
        <v>2086</v>
      </c>
    </row>
    <row r="1068" spans="1:5" x14ac:dyDescent="0.35">
      <c r="A1068" s="2" t="s">
        <v>939</v>
      </c>
      <c r="B1068" s="2" t="s">
        <v>4</v>
      </c>
      <c r="C1068" s="3">
        <v>165.83</v>
      </c>
      <c r="D1068" s="1">
        <v>190</v>
      </c>
      <c r="E1068" t="s">
        <v>2086</v>
      </c>
    </row>
    <row r="1069" spans="1:5" x14ac:dyDescent="0.35">
      <c r="A1069" s="2" t="s">
        <v>940</v>
      </c>
      <c r="B1069" s="2" t="s">
        <v>5</v>
      </c>
      <c r="C1069" s="3">
        <v>140.71</v>
      </c>
      <c r="D1069" s="1">
        <v>160</v>
      </c>
      <c r="E1069" t="s">
        <v>2087</v>
      </c>
    </row>
    <row r="1070" spans="1:5" x14ac:dyDescent="0.35">
      <c r="A1070" s="2" t="s">
        <v>940</v>
      </c>
      <c r="B1070" s="2" t="s">
        <v>4</v>
      </c>
      <c r="C1070" s="3">
        <v>184.95</v>
      </c>
      <c r="D1070" s="1">
        <v>210</v>
      </c>
      <c r="E1070" t="s">
        <v>2087</v>
      </c>
    </row>
    <row r="1071" spans="1:5" x14ac:dyDescent="0.35">
      <c r="A1071" s="2" t="s">
        <v>941</v>
      </c>
      <c r="B1071" s="2" t="s">
        <v>5</v>
      </c>
      <c r="C1071" s="3">
        <v>111.86</v>
      </c>
      <c r="D1071" s="1">
        <v>130</v>
      </c>
      <c r="E1071" t="s">
        <v>2088</v>
      </c>
    </row>
    <row r="1072" spans="1:5" x14ac:dyDescent="0.35">
      <c r="A1072" s="2" t="s">
        <v>941</v>
      </c>
      <c r="B1072" s="2" t="s">
        <v>4</v>
      </c>
      <c r="C1072" s="3">
        <v>146.43</v>
      </c>
      <c r="D1072" s="1">
        <v>170</v>
      </c>
      <c r="E1072" t="s">
        <v>2088</v>
      </c>
    </row>
    <row r="1073" spans="1:5" x14ac:dyDescent="0.35">
      <c r="A1073" s="2" t="s">
        <v>942</v>
      </c>
      <c r="B1073" s="2" t="s">
        <v>375</v>
      </c>
      <c r="C1073" s="3">
        <v>87.59</v>
      </c>
      <c r="D1073" s="1">
        <v>100</v>
      </c>
      <c r="E1073" t="s">
        <v>2089</v>
      </c>
    </row>
    <row r="1074" spans="1:5" x14ac:dyDescent="0.35">
      <c r="A1074" s="2" t="s">
        <v>943</v>
      </c>
      <c r="B1074" s="2" t="s">
        <v>375</v>
      </c>
      <c r="C1074" s="3">
        <v>40</v>
      </c>
      <c r="D1074" s="1">
        <v>50</v>
      </c>
      <c r="E1074" t="s">
        <v>2090</v>
      </c>
    </row>
    <row r="1075" spans="1:5" x14ac:dyDescent="0.35">
      <c r="A1075" s="2" t="s">
        <v>944</v>
      </c>
      <c r="B1075" s="2" t="s">
        <v>5</v>
      </c>
      <c r="C1075" s="3">
        <v>219.04</v>
      </c>
      <c r="D1075" s="1">
        <v>250</v>
      </c>
      <c r="E1075" t="s">
        <v>2091</v>
      </c>
    </row>
    <row r="1076" spans="1:5" x14ac:dyDescent="0.35">
      <c r="A1076" s="2" t="s">
        <v>945</v>
      </c>
      <c r="B1076" s="2" t="s">
        <v>375</v>
      </c>
      <c r="C1076" s="3">
        <v>161.09</v>
      </c>
      <c r="D1076" s="1">
        <v>190</v>
      </c>
      <c r="E1076" t="s">
        <v>2092</v>
      </c>
    </row>
  </sheetData>
  <autoFilter ref="A1:E1076" xr:uid="{A3586DAE-AF8B-4824-B5D7-DBEBA377A72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D0FC-E447-48E3-B655-DE24B6C45CE7}">
  <dimension ref="A1:D938"/>
  <sheetViews>
    <sheetView topLeftCell="A922" workbookViewId="0">
      <selection activeCell="B1" sqref="B1:B938"/>
    </sheetView>
  </sheetViews>
  <sheetFormatPr defaultRowHeight="14.5" x14ac:dyDescent="0.35"/>
  <cols>
    <col min="1" max="1" width="45.08984375" bestFit="1" customWidth="1"/>
    <col min="2" max="2" width="40.7265625" bestFit="1" customWidth="1"/>
  </cols>
  <sheetData>
    <row r="1" spans="1:2" x14ac:dyDescent="0.35">
      <c r="A1" s="2" t="s">
        <v>445</v>
      </c>
      <c r="B1" t="s">
        <v>952</v>
      </c>
    </row>
    <row r="2" spans="1:2" x14ac:dyDescent="0.35">
      <c r="A2" s="2" t="s">
        <v>446</v>
      </c>
      <c r="B2" t="s">
        <v>952</v>
      </c>
    </row>
    <row r="3" spans="1:2" x14ac:dyDescent="0.35">
      <c r="A3" s="2" t="s">
        <v>447</v>
      </c>
      <c r="B3" t="s">
        <v>952</v>
      </c>
    </row>
    <row r="4" spans="1:2" x14ac:dyDescent="0.35">
      <c r="A4" s="2" t="s">
        <v>31</v>
      </c>
      <c r="B4" t="s">
        <v>953</v>
      </c>
    </row>
    <row r="5" spans="1:2" x14ac:dyDescent="0.35">
      <c r="A5" s="2" t="s">
        <v>32</v>
      </c>
      <c r="B5" t="s">
        <v>953</v>
      </c>
    </row>
    <row r="6" spans="1:2" x14ac:dyDescent="0.35">
      <c r="A6" s="2" t="s">
        <v>33</v>
      </c>
      <c r="B6" t="s">
        <v>954</v>
      </c>
    </row>
    <row r="7" spans="1:2" x14ac:dyDescent="0.35">
      <c r="A7" s="2" t="s">
        <v>34</v>
      </c>
      <c r="B7" t="s">
        <v>954</v>
      </c>
    </row>
    <row r="8" spans="1:2" x14ac:dyDescent="0.35">
      <c r="A8" s="2" t="s">
        <v>35</v>
      </c>
      <c r="B8" t="s">
        <v>954</v>
      </c>
    </row>
    <row r="9" spans="1:2" x14ac:dyDescent="0.35">
      <c r="A9" s="2" t="s">
        <v>36</v>
      </c>
      <c r="B9" t="s">
        <v>955</v>
      </c>
    </row>
    <row r="10" spans="1:2" x14ac:dyDescent="0.35">
      <c r="A10" s="2" t="s">
        <v>448</v>
      </c>
      <c r="B10" t="s">
        <v>956</v>
      </c>
    </row>
    <row r="11" spans="1:2" x14ac:dyDescent="0.35">
      <c r="A11" s="2" t="s">
        <v>449</v>
      </c>
      <c r="B11" t="s">
        <v>956</v>
      </c>
    </row>
    <row r="12" spans="1:2" x14ac:dyDescent="0.35">
      <c r="A12" s="2" t="s">
        <v>450</v>
      </c>
      <c r="B12" t="s">
        <v>956</v>
      </c>
    </row>
    <row r="13" spans="1:2" x14ac:dyDescent="0.35">
      <c r="A13" s="2" t="s">
        <v>37</v>
      </c>
      <c r="B13" t="s">
        <v>957</v>
      </c>
    </row>
    <row r="14" spans="1:2" x14ac:dyDescent="0.35">
      <c r="A14" s="2" t="s">
        <v>451</v>
      </c>
      <c r="B14" t="s">
        <v>958</v>
      </c>
    </row>
    <row r="15" spans="1:2" x14ac:dyDescent="0.35">
      <c r="A15" s="2" t="s">
        <v>452</v>
      </c>
      <c r="B15" t="s">
        <v>958</v>
      </c>
    </row>
    <row r="16" spans="1:2" x14ac:dyDescent="0.35">
      <c r="A16" s="2" t="s">
        <v>453</v>
      </c>
      <c r="B16" t="s">
        <v>958</v>
      </c>
    </row>
    <row r="17" spans="1:2" x14ac:dyDescent="0.35">
      <c r="A17" s="2" t="s">
        <v>454</v>
      </c>
      <c r="B17" t="s">
        <v>959</v>
      </c>
    </row>
    <row r="18" spans="1:2" x14ac:dyDescent="0.35">
      <c r="A18" s="2" t="s">
        <v>38</v>
      </c>
      <c r="B18" t="s">
        <v>959</v>
      </c>
    </row>
    <row r="19" spans="1:2" x14ac:dyDescent="0.35">
      <c r="A19" s="2" t="s">
        <v>39</v>
      </c>
      <c r="B19" t="s">
        <v>960</v>
      </c>
    </row>
    <row r="20" spans="1:2" x14ac:dyDescent="0.35">
      <c r="A20" s="2" t="s">
        <v>455</v>
      </c>
      <c r="B20" t="s">
        <v>961</v>
      </c>
    </row>
    <row r="21" spans="1:2" x14ac:dyDescent="0.35">
      <c r="A21" s="2" t="s">
        <v>456</v>
      </c>
      <c r="B21" t="s">
        <v>962</v>
      </c>
    </row>
    <row r="22" spans="1:2" x14ac:dyDescent="0.35">
      <c r="A22" s="2" t="s">
        <v>40</v>
      </c>
      <c r="B22" t="s">
        <v>962</v>
      </c>
    </row>
    <row r="23" spans="1:2" x14ac:dyDescent="0.35">
      <c r="A23" s="2" t="s">
        <v>457</v>
      </c>
      <c r="B23" t="s">
        <v>962</v>
      </c>
    </row>
    <row r="24" spans="1:2" x14ac:dyDescent="0.35">
      <c r="A24" s="2" t="s">
        <v>41</v>
      </c>
      <c r="B24" t="s">
        <v>962</v>
      </c>
    </row>
    <row r="25" spans="1:2" x14ac:dyDescent="0.35">
      <c r="A25" s="2" t="s">
        <v>458</v>
      </c>
      <c r="B25" t="s">
        <v>963</v>
      </c>
    </row>
    <row r="26" spans="1:2" x14ac:dyDescent="0.35">
      <c r="A26" s="2" t="s">
        <v>459</v>
      </c>
      <c r="B26" t="s">
        <v>963</v>
      </c>
    </row>
    <row r="27" spans="1:2" x14ac:dyDescent="0.35">
      <c r="A27" s="2" t="s">
        <v>460</v>
      </c>
      <c r="B27" t="s">
        <v>964</v>
      </c>
    </row>
    <row r="28" spans="1:2" x14ac:dyDescent="0.35">
      <c r="A28" s="2" t="s">
        <v>461</v>
      </c>
      <c r="B28" t="s">
        <v>461</v>
      </c>
    </row>
    <row r="29" spans="1:2" x14ac:dyDescent="0.35">
      <c r="A29" s="2" t="s">
        <v>462</v>
      </c>
      <c r="B29" t="s">
        <v>965</v>
      </c>
    </row>
    <row r="30" spans="1:2" x14ac:dyDescent="0.35">
      <c r="A30" s="2" t="s">
        <v>463</v>
      </c>
      <c r="B30" t="s">
        <v>965</v>
      </c>
    </row>
    <row r="31" spans="1:2" x14ac:dyDescent="0.35">
      <c r="A31" s="2" t="s">
        <v>464</v>
      </c>
      <c r="B31" t="s">
        <v>965</v>
      </c>
    </row>
    <row r="32" spans="1:2" x14ac:dyDescent="0.35">
      <c r="A32" s="2" t="s">
        <v>465</v>
      </c>
      <c r="B32" t="s">
        <v>966</v>
      </c>
    </row>
    <row r="33" spans="1:4" x14ac:dyDescent="0.35">
      <c r="A33" s="2" t="s">
        <v>466</v>
      </c>
      <c r="B33" t="s">
        <v>966</v>
      </c>
    </row>
    <row r="34" spans="1:4" x14ac:dyDescent="0.35">
      <c r="A34" s="2" t="s">
        <v>467</v>
      </c>
      <c r="B34" t="s">
        <v>966</v>
      </c>
    </row>
    <row r="35" spans="1:4" x14ac:dyDescent="0.35">
      <c r="A35" s="2" t="s">
        <v>42</v>
      </c>
      <c r="B35" t="s">
        <v>1362</v>
      </c>
      <c r="D35" t="s">
        <v>1362</v>
      </c>
    </row>
    <row r="36" spans="1:4" x14ac:dyDescent="0.35">
      <c r="A36" s="2" t="s">
        <v>468</v>
      </c>
      <c r="B36" t="s">
        <v>967</v>
      </c>
    </row>
    <row r="37" spans="1:4" x14ac:dyDescent="0.35">
      <c r="A37" s="2" t="s">
        <v>469</v>
      </c>
      <c r="B37" t="s">
        <v>967</v>
      </c>
    </row>
    <row r="38" spans="1:4" x14ac:dyDescent="0.35">
      <c r="A38" s="2" t="s">
        <v>470</v>
      </c>
      <c r="B38" t="s">
        <v>967</v>
      </c>
    </row>
    <row r="39" spans="1:4" x14ac:dyDescent="0.35">
      <c r="A39" s="2" t="s">
        <v>471</v>
      </c>
      <c r="B39" t="s">
        <v>967</v>
      </c>
      <c r="C39" t="s">
        <v>967</v>
      </c>
    </row>
    <row r="40" spans="1:4" x14ac:dyDescent="0.35">
      <c r="A40" s="2" t="s">
        <v>43</v>
      </c>
      <c r="B40" t="s">
        <v>472</v>
      </c>
    </row>
    <row r="41" spans="1:4" x14ac:dyDescent="0.35">
      <c r="A41" s="2" t="s">
        <v>472</v>
      </c>
      <c r="B41" t="s">
        <v>472</v>
      </c>
    </row>
    <row r="42" spans="1:4" x14ac:dyDescent="0.35">
      <c r="A42" s="2" t="s">
        <v>44</v>
      </c>
      <c r="B42" t="s">
        <v>472</v>
      </c>
    </row>
    <row r="43" spans="1:4" x14ac:dyDescent="0.35">
      <c r="A43" s="2" t="s">
        <v>45</v>
      </c>
      <c r="B43" t="s">
        <v>472</v>
      </c>
    </row>
    <row r="44" spans="1:4" x14ac:dyDescent="0.35">
      <c r="A44" s="2" t="s">
        <v>473</v>
      </c>
      <c r="B44" t="s">
        <v>473</v>
      </c>
    </row>
    <row r="45" spans="1:4" x14ac:dyDescent="0.35">
      <c r="A45" s="2" t="s">
        <v>473</v>
      </c>
      <c r="B45" t="s">
        <v>473</v>
      </c>
    </row>
    <row r="46" spans="1:4" x14ac:dyDescent="0.35">
      <c r="A46" s="2" t="s">
        <v>473</v>
      </c>
      <c r="B46" t="s">
        <v>473</v>
      </c>
    </row>
    <row r="47" spans="1:4" x14ac:dyDescent="0.35">
      <c r="A47" s="2" t="s">
        <v>46</v>
      </c>
      <c r="B47" t="s">
        <v>473</v>
      </c>
    </row>
    <row r="48" spans="1:4" x14ac:dyDescent="0.35">
      <c r="A48" s="2" t="s">
        <v>47</v>
      </c>
      <c r="B48" t="s">
        <v>968</v>
      </c>
    </row>
    <row r="49" spans="1:3" x14ac:dyDescent="0.35">
      <c r="A49" s="2" t="s">
        <v>474</v>
      </c>
      <c r="B49" t="s">
        <v>474</v>
      </c>
    </row>
    <row r="50" spans="1:3" x14ac:dyDescent="0.35">
      <c r="A50" s="2" t="s">
        <v>474</v>
      </c>
      <c r="B50" t="s">
        <v>474</v>
      </c>
    </row>
    <row r="51" spans="1:3" x14ac:dyDescent="0.35">
      <c r="A51" s="2" t="s">
        <v>474</v>
      </c>
      <c r="B51" t="s">
        <v>474</v>
      </c>
    </row>
    <row r="52" spans="1:3" x14ac:dyDescent="0.35">
      <c r="A52" s="2" t="s">
        <v>48</v>
      </c>
      <c r="B52" t="s">
        <v>48</v>
      </c>
      <c r="C52" t="s">
        <v>48</v>
      </c>
    </row>
    <row r="53" spans="1:3" x14ac:dyDescent="0.35">
      <c r="A53" s="2" t="s">
        <v>49</v>
      </c>
      <c r="B53" t="s">
        <v>969</v>
      </c>
    </row>
    <row r="54" spans="1:3" x14ac:dyDescent="0.35">
      <c r="A54" s="2" t="s">
        <v>475</v>
      </c>
      <c r="B54" t="s">
        <v>970</v>
      </c>
    </row>
    <row r="55" spans="1:3" x14ac:dyDescent="0.35">
      <c r="A55" s="2" t="s">
        <v>476</v>
      </c>
      <c r="B55" t="s">
        <v>971</v>
      </c>
    </row>
    <row r="56" spans="1:3" x14ac:dyDescent="0.35">
      <c r="A56" s="2" t="s">
        <v>477</v>
      </c>
      <c r="B56" t="s">
        <v>477</v>
      </c>
    </row>
    <row r="57" spans="1:3" x14ac:dyDescent="0.35">
      <c r="A57" s="2" t="s">
        <v>478</v>
      </c>
      <c r="B57" t="s">
        <v>972</v>
      </c>
    </row>
    <row r="58" spans="1:3" x14ac:dyDescent="0.35">
      <c r="A58" s="2" t="s">
        <v>479</v>
      </c>
      <c r="B58" t="s">
        <v>973</v>
      </c>
    </row>
    <row r="59" spans="1:3" x14ac:dyDescent="0.35">
      <c r="A59" s="2" t="s">
        <v>480</v>
      </c>
      <c r="B59" t="s">
        <v>974</v>
      </c>
    </row>
    <row r="60" spans="1:3" x14ac:dyDescent="0.35">
      <c r="A60" s="2" t="s">
        <v>50</v>
      </c>
      <c r="B60" t="s">
        <v>1363</v>
      </c>
    </row>
    <row r="61" spans="1:3" x14ac:dyDescent="0.35">
      <c r="A61" s="2" t="s">
        <v>51</v>
      </c>
      <c r="B61" t="s">
        <v>1364</v>
      </c>
    </row>
    <row r="62" spans="1:3" x14ac:dyDescent="0.35">
      <c r="A62" s="2" t="s">
        <v>52</v>
      </c>
      <c r="B62" t="s">
        <v>1365</v>
      </c>
    </row>
    <row r="63" spans="1:3" x14ac:dyDescent="0.35">
      <c r="A63" s="2" t="s">
        <v>53</v>
      </c>
      <c r="B63" t="s">
        <v>975</v>
      </c>
    </row>
    <row r="64" spans="1:3" x14ac:dyDescent="0.35">
      <c r="A64" s="2" t="s">
        <v>481</v>
      </c>
      <c r="B64" t="s">
        <v>481</v>
      </c>
    </row>
    <row r="65" spans="1:2" x14ac:dyDescent="0.35">
      <c r="A65" s="2" t="s">
        <v>54</v>
      </c>
      <c r="B65" t="s">
        <v>976</v>
      </c>
    </row>
    <row r="66" spans="1:2" x14ac:dyDescent="0.35">
      <c r="A66" s="2" t="s">
        <v>55</v>
      </c>
      <c r="B66" t="s">
        <v>976</v>
      </c>
    </row>
    <row r="67" spans="1:2" x14ac:dyDescent="0.35">
      <c r="A67" s="2" t="s">
        <v>56</v>
      </c>
      <c r="B67" t="s">
        <v>976</v>
      </c>
    </row>
    <row r="68" spans="1:2" x14ac:dyDescent="0.35">
      <c r="A68" s="2" t="s">
        <v>482</v>
      </c>
      <c r="B68" t="s">
        <v>977</v>
      </c>
    </row>
    <row r="69" spans="1:2" x14ac:dyDescent="0.35">
      <c r="A69" s="2" t="s">
        <v>483</v>
      </c>
      <c r="B69" t="s">
        <v>978</v>
      </c>
    </row>
    <row r="70" spans="1:2" x14ac:dyDescent="0.35">
      <c r="A70" s="2" t="s">
        <v>57</v>
      </c>
      <c r="B70" t="s">
        <v>979</v>
      </c>
    </row>
    <row r="71" spans="1:2" x14ac:dyDescent="0.35">
      <c r="A71" s="2" t="s">
        <v>58</v>
      </c>
      <c r="B71" t="s">
        <v>980</v>
      </c>
    </row>
    <row r="72" spans="1:2" x14ac:dyDescent="0.35">
      <c r="A72" s="2" t="s">
        <v>59</v>
      </c>
      <c r="B72" t="s">
        <v>981</v>
      </c>
    </row>
    <row r="73" spans="1:2" x14ac:dyDescent="0.35">
      <c r="A73" s="2" t="s">
        <v>484</v>
      </c>
      <c r="B73" t="s">
        <v>982</v>
      </c>
    </row>
    <row r="74" spans="1:2" x14ac:dyDescent="0.35">
      <c r="A74" s="2" t="s">
        <v>485</v>
      </c>
      <c r="B74" t="s">
        <v>1366</v>
      </c>
    </row>
    <row r="75" spans="1:2" x14ac:dyDescent="0.35">
      <c r="A75" s="2" t="s">
        <v>486</v>
      </c>
      <c r="B75" t="s">
        <v>983</v>
      </c>
    </row>
    <row r="76" spans="1:2" x14ac:dyDescent="0.35">
      <c r="A76" s="2" t="s">
        <v>487</v>
      </c>
      <c r="B76" t="s">
        <v>983</v>
      </c>
    </row>
    <row r="77" spans="1:2" x14ac:dyDescent="0.35">
      <c r="A77" s="2" t="s">
        <v>60</v>
      </c>
      <c r="B77" t="s">
        <v>984</v>
      </c>
    </row>
    <row r="78" spans="1:2" x14ac:dyDescent="0.35">
      <c r="A78" s="2" t="s">
        <v>61</v>
      </c>
      <c r="B78" t="s">
        <v>488</v>
      </c>
    </row>
    <row r="79" spans="1:2" x14ac:dyDescent="0.35">
      <c r="A79" s="2" t="s">
        <v>488</v>
      </c>
      <c r="B79" t="s">
        <v>488</v>
      </c>
    </row>
    <row r="80" spans="1:2" x14ac:dyDescent="0.35">
      <c r="A80" s="2" t="s">
        <v>489</v>
      </c>
      <c r="B80" t="s">
        <v>985</v>
      </c>
    </row>
    <row r="81" spans="1:2" x14ac:dyDescent="0.35">
      <c r="A81" s="2" t="s">
        <v>490</v>
      </c>
      <c r="B81" t="s">
        <v>986</v>
      </c>
    </row>
    <row r="82" spans="1:2" x14ac:dyDescent="0.35">
      <c r="A82" s="2" t="s">
        <v>491</v>
      </c>
      <c r="B82" t="s">
        <v>986</v>
      </c>
    </row>
    <row r="83" spans="1:2" x14ac:dyDescent="0.35">
      <c r="A83" s="2" t="s">
        <v>492</v>
      </c>
      <c r="B83" t="s">
        <v>986</v>
      </c>
    </row>
    <row r="84" spans="1:2" x14ac:dyDescent="0.35">
      <c r="A84" s="2" t="s">
        <v>493</v>
      </c>
      <c r="B84" t="s">
        <v>493</v>
      </c>
    </row>
    <row r="85" spans="1:2" x14ac:dyDescent="0.35">
      <c r="A85" s="2" t="s">
        <v>493</v>
      </c>
      <c r="B85" t="s">
        <v>493</v>
      </c>
    </row>
    <row r="86" spans="1:2" x14ac:dyDescent="0.35">
      <c r="A86" s="2" t="s">
        <v>493</v>
      </c>
      <c r="B86" t="s">
        <v>493</v>
      </c>
    </row>
    <row r="87" spans="1:2" x14ac:dyDescent="0.35">
      <c r="A87" s="2" t="s">
        <v>494</v>
      </c>
      <c r="B87" t="s">
        <v>987</v>
      </c>
    </row>
    <row r="88" spans="1:2" x14ac:dyDescent="0.35">
      <c r="A88" s="2" t="s">
        <v>495</v>
      </c>
      <c r="B88" t="s">
        <v>987</v>
      </c>
    </row>
    <row r="89" spans="1:2" x14ac:dyDescent="0.35">
      <c r="A89" s="2" t="s">
        <v>496</v>
      </c>
      <c r="B89" t="s">
        <v>987</v>
      </c>
    </row>
    <row r="90" spans="1:2" x14ac:dyDescent="0.35">
      <c r="A90" s="2" t="s">
        <v>497</v>
      </c>
      <c r="B90" t="s">
        <v>988</v>
      </c>
    </row>
    <row r="91" spans="1:2" x14ac:dyDescent="0.35">
      <c r="A91" s="2" t="s">
        <v>62</v>
      </c>
      <c r="B91" t="s">
        <v>989</v>
      </c>
    </row>
    <row r="92" spans="1:2" x14ac:dyDescent="0.35">
      <c r="A92" s="2" t="s">
        <v>63</v>
      </c>
      <c r="B92" t="s">
        <v>989</v>
      </c>
    </row>
    <row r="93" spans="1:2" x14ac:dyDescent="0.35">
      <c r="A93" s="2" t="s">
        <v>64</v>
      </c>
      <c r="B93" t="s">
        <v>989</v>
      </c>
    </row>
    <row r="94" spans="1:2" x14ac:dyDescent="0.35">
      <c r="A94" s="2" t="s">
        <v>65</v>
      </c>
      <c r="B94" t="s">
        <v>990</v>
      </c>
    </row>
    <row r="95" spans="1:2" x14ac:dyDescent="0.35">
      <c r="A95" s="2" t="s">
        <v>498</v>
      </c>
      <c r="B95" t="s">
        <v>991</v>
      </c>
    </row>
    <row r="96" spans="1:2" x14ac:dyDescent="0.35">
      <c r="A96" s="2" t="s">
        <v>499</v>
      </c>
      <c r="B96" t="s">
        <v>499</v>
      </c>
    </row>
    <row r="97" spans="1:2" x14ac:dyDescent="0.35">
      <c r="A97" s="2" t="s">
        <v>66</v>
      </c>
      <c r="B97" t="s">
        <v>992</v>
      </c>
    </row>
    <row r="98" spans="1:2" x14ac:dyDescent="0.35">
      <c r="A98" s="2" t="s">
        <v>67</v>
      </c>
      <c r="B98" t="s">
        <v>993</v>
      </c>
    </row>
    <row r="99" spans="1:2" x14ac:dyDescent="0.35">
      <c r="A99" s="2" t="s">
        <v>500</v>
      </c>
      <c r="B99" t="s">
        <v>500</v>
      </c>
    </row>
    <row r="100" spans="1:2" x14ac:dyDescent="0.35">
      <c r="A100" s="2" t="s">
        <v>501</v>
      </c>
      <c r="B100" t="s">
        <v>501</v>
      </c>
    </row>
    <row r="101" spans="1:2" x14ac:dyDescent="0.35">
      <c r="A101" s="2" t="s">
        <v>68</v>
      </c>
      <c r="B101" t="s">
        <v>994</v>
      </c>
    </row>
    <row r="102" spans="1:2" x14ac:dyDescent="0.35">
      <c r="A102" s="2" t="s">
        <v>502</v>
      </c>
      <c r="B102" t="s">
        <v>995</v>
      </c>
    </row>
    <row r="103" spans="1:2" x14ac:dyDescent="0.35">
      <c r="A103" s="2" t="s">
        <v>69</v>
      </c>
      <c r="B103" t="s">
        <v>996</v>
      </c>
    </row>
    <row r="104" spans="1:2" x14ac:dyDescent="0.35">
      <c r="A104" s="2" t="s">
        <v>503</v>
      </c>
      <c r="B104" t="s">
        <v>997</v>
      </c>
    </row>
    <row r="105" spans="1:2" x14ac:dyDescent="0.35">
      <c r="A105" s="2" t="s">
        <v>70</v>
      </c>
      <c r="B105" t="s">
        <v>997</v>
      </c>
    </row>
    <row r="106" spans="1:2" x14ac:dyDescent="0.35">
      <c r="A106" s="2" t="s">
        <v>71</v>
      </c>
      <c r="B106" t="s">
        <v>71</v>
      </c>
    </row>
    <row r="107" spans="1:2" x14ac:dyDescent="0.35">
      <c r="A107" s="2" t="s">
        <v>72</v>
      </c>
      <c r="B107" t="s">
        <v>998</v>
      </c>
    </row>
    <row r="108" spans="1:2" x14ac:dyDescent="0.35">
      <c r="A108" s="2" t="s">
        <v>73</v>
      </c>
      <c r="B108" t="s">
        <v>999</v>
      </c>
    </row>
    <row r="109" spans="1:2" x14ac:dyDescent="0.35">
      <c r="A109" s="2" t="s">
        <v>504</v>
      </c>
      <c r="B109" t="s">
        <v>504</v>
      </c>
    </row>
    <row r="110" spans="1:2" x14ac:dyDescent="0.35">
      <c r="A110" s="2" t="s">
        <v>74</v>
      </c>
      <c r="B110" t="s">
        <v>1000</v>
      </c>
    </row>
    <row r="111" spans="1:2" x14ac:dyDescent="0.35">
      <c r="A111" s="2" t="s">
        <v>505</v>
      </c>
      <c r="B111" t="s">
        <v>1001</v>
      </c>
    </row>
    <row r="112" spans="1:2" x14ac:dyDescent="0.35">
      <c r="A112" s="2" t="s">
        <v>506</v>
      </c>
      <c r="B112" t="s">
        <v>1002</v>
      </c>
    </row>
    <row r="113" spans="1:2" x14ac:dyDescent="0.35">
      <c r="A113" s="2" t="s">
        <v>507</v>
      </c>
      <c r="B113" t="s">
        <v>1003</v>
      </c>
    </row>
    <row r="114" spans="1:2" x14ac:dyDescent="0.35">
      <c r="A114" s="2" t="s">
        <v>75</v>
      </c>
      <c r="B114" t="s">
        <v>1004</v>
      </c>
    </row>
    <row r="115" spans="1:2" x14ac:dyDescent="0.35">
      <c r="A115" s="2" t="s">
        <v>508</v>
      </c>
      <c r="B115" t="s">
        <v>1005</v>
      </c>
    </row>
    <row r="116" spans="1:2" x14ac:dyDescent="0.35">
      <c r="A116" s="2" t="s">
        <v>509</v>
      </c>
      <c r="B116" t="s">
        <v>511</v>
      </c>
    </row>
    <row r="117" spans="1:2" x14ac:dyDescent="0.35">
      <c r="A117" s="2" t="s">
        <v>510</v>
      </c>
      <c r="B117" t="s">
        <v>511</v>
      </c>
    </row>
    <row r="118" spans="1:2" x14ac:dyDescent="0.35">
      <c r="A118" s="2" t="s">
        <v>511</v>
      </c>
      <c r="B118" t="s">
        <v>511</v>
      </c>
    </row>
    <row r="119" spans="1:2" x14ac:dyDescent="0.35">
      <c r="A119" s="2" t="s">
        <v>76</v>
      </c>
      <c r="B119" t="s">
        <v>1006</v>
      </c>
    </row>
    <row r="120" spans="1:2" x14ac:dyDescent="0.35">
      <c r="A120" s="2" t="s">
        <v>77</v>
      </c>
      <c r="B120" t="s">
        <v>1007</v>
      </c>
    </row>
    <row r="121" spans="1:2" x14ac:dyDescent="0.35">
      <c r="A121" s="2" t="s">
        <v>512</v>
      </c>
      <c r="B121" t="s">
        <v>512</v>
      </c>
    </row>
    <row r="122" spans="1:2" x14ac:dyDescent="0.35">
      <c r="A122" s="2" t="s">
        <v>513</v>
      </c>
      <c r="B122" t="s">
        <v>1008</v>
      </c>
    </row>
    <row r="123" spans="1:2" x14ac:dyDescent="0.35">
      <c r="A123" s="2" t="s">
        <v>514</v>
      </c>
      <c r="B123" t="s">
        <v>1009</v>
      </c>
    </row>
    <row r="124" spans="1:2" x14ac:dyDescent="0.35">
      <c r="A124" s="2" t="s">
        <v>515</v>
      </c>
      <c r="B124" t="s">
        <v>1010</v>
      </c>
    </row>
    <row r="125" spans="1:2" x14ac:dyDescent="0.35">
      <c r="A125" s="2" t="s">
        <v>78</v>
      </c>
      <c r="B125" t="s">
        <v>1011</v>
      </c>
    </row>
    <row r="126" spans="1:2" x14ac:dyDescent="0.35">
      <c r="A126" s="2" t="s">
        <v>516</v>
      </c>
      <c r="B126" t="s">
        <v>516</v>
      </c>
    </row>
    <row r="127" spans="1:2" x14ac:dyDescent="0.35">
      <c r="A127" s="2" t="s">
        <v>517</v>
      </c>
      <c r="B127" t="s">
        <v>517</v>
      </c>
    </row>
    <row r="128" spans="1:2" x14ac:dyDescent="0.35">
      <c r="A128" s="4" t="s">
        <v>946</v>
      </c>
      <c r="B128" t="s">
        <v>1012</v>
      </c>
    </row>
    <row r="129" spans="1:2" x14ac:dyDescent="0.35">
      <c r="A129" s="4" t="s">
        <v>947</v>
      </c>
      <c r="B129" t="s">
        <v>1013</v>
      </c>
    </row>
    <row r="130" spans="1:2" x14ac:dyDescent="0.35">
      <c r="A130" s="2" t="s">
        <v>79</v>
      </c>
      <c r="B130" t="s">
        <v>1014</v>
      </c>
    </row>
    <row r="131" spans="1:2" x14ac:dyDescent="0.35">
      <c r="A131" s="2" t="s">
        <v>80</v>
      </c>
      <c r="B131" t="s">
        <v>1014</v>
      </c>
    </row>
    <row r="132" spans="1:2" x14ac:dyDescent="0.35">
      <c r="A132" s="2" t="s">
        <v>81</v>
      </c>
      <c r="B132" t="s">
        <v>1014</v>
      </c>
    </row>
    <row r="133" spans="1:2" x14ac:dyDescent="0.35">
      <c r="A133" s="2" t="s">
        <v>518</v>
      </c>
      <c r="B133" t="s">
        <v>1015</v>
      </c>
    </row>
    <row r="134" spans="1:2" x14ac:dyDescent="0.35">
      <c r="A134" s="2" t="s">
        <v>82</v>
      </c>
      <c r="B134" t="s">
        <v>1016</v>
      </c>
    </row>
    <row r="135" spans="1:2" x14ac:dyDescent="0.35">
      <c r="A135" s="2" t="s">
        <v>519</v>
      </c>
      <c r="B135" t="s">
        <v>1017</v>
      </c>
    </row>
    <row r="136" spans="1:2" x14ac:dyDescent="0.35">
      <c r="A136" s="2" t="s">
        <v>520</v>
      </c>
      <c r="B136" t="s">
        <v>1018</v>
      </c>
    </row>
    <row r="137" spans="1:2" x14ac:dyDescent="0.35">
      <c r="A137" s="2" t="s">
        <v>83</v>
      </c>
      <c r="B137" t="s">
        <v>1019</v>
      </c>
    </row>
    <row r="138" spans="1:2" x14ac:dyDescent="0.35">
      <c r="A138" s="2" t="s">
        <v>84</v>
      </c>
      <c r="B138" t="s">
        <v>1020</v>
      </c>
    </row>
    <row r="139" spans="1:2" x14ac:dyDescent="0.35">
      <c r="A139" s="2" t="s">
        <v>85</v>
      </c>
      <c r="B139" t="s">
        <v>1021</v>
      </c>
    </row>
    <row r="140" spans="1:2" x14ac:dyDescent="0.35">
      <c r="A140" s="2" t="s">
        <v>86</v>
      </c>
      <c r="B140" t="s">
        <v>1022</v>
      </c>
    </row>
    <row r="141" spans="1:2" x14ac:dyDescent="0.35">
      <c r="A141" s="2" t="s">
        <v>521</v>
      </c>
      <c r="B141" t="s">
        <v>1022</v>
      </c>
    </row>
    <row r="142" spans="1:2" x14ac:dyDescent="0.35">
      <c r="A142" s="2" t="s">
        <v>87</v>
      </c>
      <c r="B142" t="s">
        <v>1023</v>
      </c>
    </row>
    <row r="143" spans="1:2" x14ac:dyDescent="0.35">
      <c r="A143" s="2" t="s">
        <v>88</v>
      </c>
      <c r="B143" t="s">
        <v>1024</v>
      </c>
    </row>
    <row r="144" spans="1:2" x14ac:dyDescent="0.35">
      <c r="A144" s="2" t="s">
        <v>522</v>
      </c>
      <c r="B144" t="s">
        <v>1025</v>
      </c>
    </row>
    <row r="145" spans="1:2" x14ac:dyDescent="0.35">
      <c r="A145" s="2" t="s">
        <v>89</v>
      </c>
      <c r="B145" t="s">
        <v>1026</v>
      </c>
    </row>
    <row r="146" spans="1:2" x14ac:dyDescent="0.35">
      <c r="A146" s="2" t="s">
        <v>90</v>
      </c>
      <c r="B146" t="s">
        <v>1027</v>
      </c>
    </row>
    <row r="147" spans="1:2" x14ac:dyDescent="0.35">
      <c r="A147" s="2" t="s">
        <v>523</v>
      </c>
      <c r="B147" t="s">
        <v>1027</v>
      </c>
    </row>
    <row r="148" spans="1:2" x14ac:dyDescent="0.35">
      <c r="A148" s="2" t="s">
        <v>524</v>
      </c>
      <c r="B148" t="s">
        <v>1027</v>
      </c>
    </row>
    <row r="149" spans="1:2" x14ac:dyDescent="0.35">
      <c r="A149" s="2" t="s">
        <v>91</v>
      </c>
      <c r="B149" t="s">
        <v>1028</v>
      </c>
    </row>
    <row r="150" spans="1:2" x14ac:dyDescent="0.35">
      <c r="A150" s="2" t="s">
        <v>525</v>
      </c>
      <c r="B150" t="s">
        <v>525</v>
      </c>
    </row>
    <row r="151" spans="1:2" x14ac:dyDescent="0.35">
      <c r="A151" s="2" t="s">
        <v>92</v>
      </c>
      <c r="B151" t="s">
        <v>1029</v>
      </c>
    </row>
    <row r="152" spans="1:2" x14ac:dyDescent="0.35">
      <c r="A152" s="2" t="s">
        <v>526</v>
      </c>
      <c r="B152" t="s">
        <v>1030</v>
      </c>
    </row>
    <row r="153" spans="1:2" x14ac:dyDescent="0.35">
      <c r="A153" s="2" t="s">
        <v>527</v>
      </c>
      <c r="B153" t="s">
        <v>1031</v>
      </c>
    </row>
    <row r="154" spans="1:2" x14ac:dyDescent="0.35">
      <c r="A154" s="2" t="s">
        <v>528</v>
      </c>
      <c r="B154" t="s">
        <v>1032</v>
      </c>
    </row>
    <row r="155" spans="1:2" x14ac:dyDescent="0.35">
      <c r="A155" s="2" t="s">
        <v>93</v>
      </c>
      <c r="B155" t="s">
        <v>1033</v>
      </c>
    </row>
    <row r="156" spans="1:2" x14ac:dyDescent="0.35">
      <c r="A156" s="2" t="s">
        <v>529</v>
      </c>
      <c r="B156" t="s">
        <v>1034</v>
      </c>
    </row>
    <row r="157" spans="1:2" x14ac:dyDescent="0.35">
      <c r="A157" s="2" t="s">
        <v>94</v>
      </c>
      <c r="B157" t="s">
        <v>1035</v>
      </c>
    </row>
    <row r="158" spans="1:2" x14ac:dyDescent="0.35">
      <c r="A158" s="2" t="s">
        <v>530</v>
      </c>
      <c r="B158" t="s">
        <v>1036</v>
      </c>
    </row>
    <row r="159" spans="1:2" x14ac:dyDescent="0.35">
      <c r="A159" s="2" t="s">
        <v>95</v>
      </c>
      <c r="B159" t="s">
        <v>1037</v>
      </c>
    </row>
    <row r="160" spans="1:2" x14ac:dyDescent="0.35">
      <c r="A160" s="2" t="s">
        <v>531</v>
      </c>
      <c r="B160" t="s">
        <v>1038</v>
      </c>
    </row>
    <row r="161" spans="1:2" x14ac:dyDescent="0.35">
      <c r="A161" s="2" t="s">
        <v>532</v>
      </c>
      <c r="B161" t="s">
        <v>1039</v>
      </c>
    </row>
    <row r="162" spans="1:2" x14ac:dyDescent="0.35">
      <c r="A162" s="2" t="s">
        <v>533</v>
      </c>
      <c r="B162" t="s">
        <v>1040</v>
      </c>
    </row>
    <row r="163" spans="1:2" x14ac:dyDescent="0.35">
      <c r="A163" s="2" t="s">
        <v>534</v>
      </c>
      <c r="B163" t="s">
        <v>1041</v>
      </c>
    </row>
    <row r="164" spans="1:2" x14ac:dyDescent="0.35">
      <c r="A164" s="2" t="s">
        <v>96</v>
      </c>
      <c r="B164" t="s">
        <v>1042</v>
      </c>
    </row>
    <row r="165" spans="1:2" x14ac:dyDescent="0.35">
      <c r="A165" s="2" t="s">
        <v>97</v>
      </c>
      <c r="B165" t="s">
        <v>1043</v>
      </c>
    </row>
    <row r="166" spans="1:2" x14ac:dyDescent="0.35">
      <c r="A166" s="2" t="s">
        <v>535</v>
      </c>
      <c r="B166" t="s">
        <v>1044</v>
      </c>
    </row>
    <row r="167" spans="1:2" x14ac:dyDescent="0.35">
      <c r="A167" s="2" t="s">
        <v>536</v>
      </c>
      <c r="B167" t="s">
        <v>1045</v>
      </c>
    </row>
    <row r="168" spans="1:2" x14ac:dyDescent="0.35">
      <c r="A168" s="2" t="s">
        <v>537</v>
      </c>
      <c r="B168" t="s">
        <v>1046</v>
      </c>
    </row>
    <row r="169" spans="1:2" x14ac:dyDescent="0.35">
      <c r="A169" s="2" t="s">
        <v>98</v>
      </c>
      <c r="B169" t="s">
        <v>1047</v>
      </c>
    </row>
    <row r="170" spans="1:2" x14ac:dyDescent="0.35">
      <c r="A170" s="2" t="s">
        <v>538</v>
      </c>
      <c r="B170" t="s">
        <v>1048</v>
      </c>
    </row>
    <row r="171" spans="1:2" x14ac:dyDescent="0.35">
      <c r="A171" s="2" t="s">
        <v>539</v>
      </c>
      <c r="B171" t="s">
        <v>1049</v>
      </c>
    </row>
    <row r="172" spans="1:2" x14ac:dyDescent="0.35">
      <c r="A172" s="2" t="s">
        <v>99</v>
      </c>
      <c r="B172" t="s">
        <v>1050</v>
      </c>
    </row>
    <row r="173" spans="1:2" x14ac:dyDescent="0.35">
      <c r="A173" s="2" t="s">
        <v>540</v>
      </c>
      <c r="B173" t="s">
        <v>1051</v>
      </c>
    </row>
    <row r="174" spans="1:2" x14ac:dyDescent="0.35">
      <c r="A174" s="2" t="s">
        <v>541</v>
      </c>
      <c r="B174" t="s">
        <v>1052</v>
      </c>
    </row>
    <row r="175" spans="1:2" x14ac:dyDescent="0.35">
      <c r="A175" s="2" t="s">
        <v>542</v>
      </c>
      <c r="B175" t="s">
        <v>1052</v>
      </c>
    </row>
    <row r="176" spans="1:2" x14ac:dyDescent="0.35">
      <c r="A176" s="2" t="s">
        <v>543</v>
      </c>
      <c r="B176" t="s">
        <v>1053</v>
      </c>
    </row>
    <row r="177" spans="1:2" x14ac:dyDescent="0.35">
      <c r="A177" s="2" t="s">
        <v>544</v>
      </c>
      <c r="B177" t="s">
        <v>1054</v>
      </c>
    </row>
    <row r="178" spans="1:2" x14ac:dyDescent="0.35">
      <c r="A178" s="2" t="s">
        <v>100</v>
      </c>
      <c r="B178" t="s">
        <v>1055</v>
      </c>
    </row>
    <row r="179" spans="1:2" x14ac:dyDescent="0.35">
      <c r="A179" s="2" t="s">
        <v>545</v>
      </c>
      <c r="B179" t="s">
        <v>1056</v>
      </c>
    </row>
    <row r="180" spans="1:2" x14ac:dyDescent="0.35">
      <c r="A180" s="2" t="s">
        <v>546</v>
      </c>
      <c r="B180" t="s">
        <v>1057</v>
      </c>
    </row>
    <row r="181" spans="1:2" x14ac:dyDescent="0.35">
      <c r="A181" s="2" t="s">
        <v>547</v>
      </c>
      <c r="B181" t="s">
        <v>1058</v>
      </c>
    </row>
    <row r="182" spans="1:2" x14ac:dyDescent="0.35">
      <c r="A182" s="2" t="s">
        <v>101</v>
      </c>
      <c r="B182" t="s">
        <v>1059</v>
      </c>
    </row>
    <row r="183" spans="1:2" x14ac:dyDescent="0.35">
      <c r="A183" s="2" t="s">
        <v>102</v>
      </c>
      <c r="B183" t="s">
        <v>1060</v>
      </c>
    </row>
    <row r="184" spans="1:2" x14ac:dyDescent="0.35">
      <c r="A184" s="2" t="s">
        <v>548</v>
      </c>
      <c r="B184" t="s">
        <v>1367</v>
      </c>
    </row>
    <row r="185" spans="1:2" x14ac:dyDescent="0.35">
      <c r="A185" s="2" t="s">
        <v>549</v>
      </c>
      <c r="B185" t="s">
        <v>1368</v>
      </c>
    </row>
    <row r="186" spans="1:2" x14ac:dyDescent="0.35">
      <c r="A186" s="2" t="s">
        <v>550</v>
      </c>
      <c r="B186" t="s">
        <v>1369</v>
      </c>
    </row>
    <row r="187" spans="1:2" x14ac:dyDescent="0.35">
      <c r="A187" s="2" t="s">
        <v>551</v>
      </c>
      <c r="B187" t="s">
        <v>1061</v>
      </c>
    </row>
    <row r="188" spans="1:2" x14ac:dyDescent="0.35">
      <c r="A188" s="2" t="s">
        <v>103</v>
      </c>
      <c r="B188" t="s">
        <v>103</v>
      </c>
    </row>
    <row r="189" spans="1:2" x14ac:dyDescent="0.35">
      <c r="A189" s="2" t="s">
        <v>552</v>
      </c>
      <c r="B189" t="s">
        <v>1062</v>
      </c>
    </row>
    <row r="190" spans="1:2" x14ac:dyDescent="0.35">
      <c r="A190" s="2" t="s">
        <v>553</v>
      </c>
      <c r="B190" t="s">
        <v>1063</v>
      </c>
    </row>
    <row r="191" spans="1:2" x14ac:dyDescent="0.35">
      <c r="A191" s="2" t="s">
        <v>554</v>
      </c>
      <c r="B191" t="s">
        <v>1064</v>
      </c>
    </row>
    <row r="192" spans="1:2" x14ac:dyDescent="0.35">
      <c r="A192" s="2" t="s">
        <v>555</v>
      </c>
      <c r="B192" t="s">
        <v>1065</v>
      </c>
    </row>
    <row r="193" spans="1:2" x14ac:dyDescent="0.35">
      <c r="A193" s="2" t="s">
        <v>556</v>
      </c>
      <c r="B193" t="s">
        <v>556</v>
      </c>
    </row>
    <row r="194" spans="1:2" x14ac:dyDescent="0.35">
      <c r="A194" s="2" t="s">
        <v>104</v>
      </c>
      <c r="B194" t="s">
        <v>1370</v>
      </c>
    </row>
    <row r="195" spans="1:2" x14ac:dyDescent="0.35">
      <c r="A195" s="2" t="s">
        <v>105</v>
      </c>
      <c r="B195" t="s">
        <v>1066</v>
      </c>
    </row>
    <row r="196" spans="1:2" x14ac:dyDescent="0.35">
      <c r="A196" s="2" t="s">
        <v>106</v>
      </c>
      <c r="B196" t="s">
        <v>1066</v>
      </c>
    </row>
    <row r="197" spans="1:2" x14ac:dyDescent="0.35">
      <c r="A197" s="2" t="s">
        <v>107</v>
      </c>
      <c r="B197" t="s">
        <v>1067</v>
      </c>
    </row>
    <row r="198" spans="1:2" x14ac:dyDescent="0.35">
      <c r="A198" s="2" t="s">
        <v>557</v>
      </c>
      <c r="B198" t="s">
        <v>1068</v>
      </c>
    </row>
    <row r="199" spans="1:2" x14ac:dyDescent="0.35">
      <c r="A199" s="2" t="s">
        <v>108</v>
      </c>
      <c r="B199" t="s">
        <v>1069</v>
      </c>
    </row>
    <row r="200" spans="1:2" x14ac:dyDescent="0.35">
      <c r="A200" s="2" t="s">
        <v>109</v>
      </c>
      <c r="B200" t="s">
        <v>1070</v>
      </c>
    </row>
    <row r="201" spans="1:2" x14ac:dyDescent="0.35">
      <c r="A201" s="2" t="s">
        <v>110</v>
      </c>
      <c r="B201" t="s">
        <v>1071</v>
      </c>
    </row>
    <row r="202" spans="1:2" x14ac:dyDescent="0.35">
      <c r="A202" s="2" t="s">
        <v>558</v>
      </c>
      <c r="B202" t="s">
        <v>558</v>
      </c>
    </row>
    <row r="203" spans="1:2" x14ac:dyDescent="0.35">
      <c r="A203" s="2" t="s">
        <v>111</v>
      </c>
      <c r="B203" t="s">
        <v>1072</v>
      </c>
    </row>
    <row r="204" spans="1:2" x14ac:dyDescent="0.35">
      <c r="A204" s="2" t="s">
        <v>559</v>
      </c>
      <c r="B204" t="s">
        <v>1371</v>
      </c>
    </row>
    <row r="205" spans="1:2" x14ac:dyDescent="0.35">
      <c r="A205" s="2" t="s">
        <v>560</v>
      </c>
      <c r="B205" t="s">
        <v>560</v>
      </c>
    </row>
    <row r="206" spans="1:2" x14ac:dyDescent="0.35">
      <c r="A206" s="2" t="s">
        <v>560</v>
      </c>
      <c r="B206" t="s">
        <v>560</v>
      </c>
    </row>
    <row r="207" spans="1:2" x14ac:dyDescent="0.35">
      <c r="A207" s="2" t="s">
        <v>561</v>
      </c>
      <c r="B207" t="s">
        <v>560</v>
      </c>
    </row>
    <row r="208" spans="1:2" x14ac:dyDescent="0.35">
      <c r="A208" s="2" t="s">
        <v>562</v>
      </c>
      <c r="B208" t="s">
        <v>564</v>
      </c>
    </row>
    <row r="209" spans="1:2" x14ac:dyDescent="0.35">
      <c r="A209" s="2" t="s">
        <v>563</v>
      </c>
      <c r="B209" t="s">
        <v>564</v>
      </c>
    </row>
    <row r="210" spans="1:2" x14ac:dyDescent="0.35">
      <c r="A210" s="2" t="s">
        <v>564</v>
      </c>
      <c r="B210" t="s">
        <v>564</v>
      </c>
    </row>
    <row r="211" spans="1:2" x14ac:dyDescent="0.35">
      <c r="A211" s="2" t="s">
        <v>112</v>
      </c>
      <c r="B211" t="s">
        <v>564</v>
      </c>
    </row>
    <row r="212" spans="1:2" x14ac:dyDescent="0.35">
      <c r="A212" s="2" t="s">
        <v>565</v>
      </c>
      <c r="B212" t="s">
        <v>1073</v>
      </c>
    </row>
    <row r="213" spans="1:2" x14ac:dyDescent="0.35">
      <c r="A213" s="2" t="s">
        <v>566</v>
      </c>
      <c r="B213" t="s">
        <v>1073</v>
      </c>
    </row>
    <row r="214" spans="1:2" x14ac:dyDescent="0.35">
      <c r="A214" s="2" t="s">
        <v>567</v>
      </c>
      <c r="B214" t="s">
        <v>1074</v>
      </c>
    </row>
    <row r="215" spans="1:2" x14ac:dyDescent="0.35">
      <c r="A215" s="2" t="s">
        <v>568</v>
      </c>
      <c r="B215" t="s">
        <v>568</v>
      </c>
    </row>
    <row r="216" spans="1:2" x14ac:dyDescent="0.35">
      <c r="A216" s="2" t="s">
        <v>568</v>
      </c>
      <c r="B216" t="s">
        <v>568</v>
      </c>
    </row>
    <row r="217" spans="1:2" x14ac:dyDescent="0.35">
      <c r="A217" s="2" t="s">
        <v>568</v>
      </c>
      <c r="B217" t="s">
        <v>568</v>
      </c>
    </row>
    <row r="218" spans="1:2" x14ac:dyDescent="0.35">
      <c r="A218" s="2" t="s">
        <v>569</v>
      </c>
      <c r="B218" t="s">
        <v>569</v>
      </c>
    </row>
    <row r="219" spans="1:2" x14ac:dyDescent="0.35">
      <c r="A219" s="2" t="s">
        <v>569</v>
      </c>
      <c r="B219" t="s">
        <v>569</v>
      </c>
    </row>
    <row r="220" spans="1:2" x14ac:dyDescent="0.35">
      <c r="A220" s="2" t="s">
        <v>569</v>
      </c>
      <c r="B220" t="s">
        <v>569</v>
      </c>
    </row>
    <row r="221" spans="1:2" x14ac:dyDescent="0.35">
      <c r="A221" s="2" t="s">
        <v>113</v>
      </c>
      <c r="B221" t="s">
        <v>1075</v>
      </c>
    </row>
    <row r="222" spans="1:2" x14ac:dyDescent="0.35">
      <c r="A222" s="2" t="s">
        <v>570</v>
      </c>
      <c r="B222" t="s">
        <v>570</v>
      </c>
    </row>
    <row r="223" spans="1:2" x14ac:dyDescent="0.35">
      <c r="A223" s="2" t="s">
        <v>571</v>
      </c>
      <c r="B223" t="s">
        <v>570</v>
      </c>
    </row>
    <row r="224" spans="1:2" x14ac:dyDescent="0.35">
      <c r="A224" s="2" t="s">
        <v>114</v>
      </c>
      <c r="B224" t="s">
        <v>1076</v>
      </c>
    </row>
    <row r="225" spans="1:2" x14ac:dyDescent="0.35">
      <c r="A225" s="2" t="s">
        <v>115</v>
      </c>
      <c r="B225" t="s">
        <v>1077</v>
      </c>
    </row>
    <row r="226" spans="1:2" x14ac:dyDescent="0.35">
      <c r="A226" s="2" t="s">
        <v>572</v>
      </c>
      <c r="B226" t="s">
        <v>572</v>
      </c>
    </row>
    <row r="227" spans="1:2" x14ac:dyDescent="0.35">
      <c r="A227" s="2" t="s">
        <v>573</v>
      </c>
      <c r="B227" t="s">
        <v>572</v>
      </c>
    </row>
    <row r="228" spans="1:2" x14ac:dyDescent="0.35">
      <c r="A228" s="4" t="s">
        <v>948</v>
      </c>
      <c r="B228" t="s">
        <v>1372</v>
      </c>
    </row>
    <row r="229" spans="1:2" x14ac:dyDescent="0.35">
      <c r="A229" s="2" t="s">
        <v>116</v>
      </c>
      <c r="B229" t="s">
        <v>1078</v>
      </c>
    </row>
    <row r="230" spans="1:2" x14ac:dyDescent="0.35">
      <c r="A230" s="2" t="s">
        <v>117</v>
      </c>
      <c r="B230" t="s">
        <v>1079</v>
      </c>
    </row>
    <row r="231" spans="1:2" x14ac:dyDescent="0.35">
      <c r="A231" s="2" t="s">
        <v>574</v>
      </c>
      <c r="B231" t="s">
        <v>1080</v>
      </c>
    </row>
    <row r="232" spans="1:2" x14ac:dyDescent="0.35">
      <c r="A232" s="2" t="s">
        <v>575</v>
      </c>
      <c r="B232" t="s">
        <v>575</v>
      </c>
    </row>
    <row r="233" spans="1:2" x14ac:dyDescent="0.35">
      <c r="A233" s="2" t="s">
        <v>576</v>
      </c>
      <c r="B233" t="s">
        <v>1373</v>
      </c>
    </row>
    <row r="234" spans="1:2" x14ac:dyDescent="0.35">
      <c r="A234" s="2" t="s">
        <v>577</v>
      </c>
      <c r="B234" t="s">
        <v>577</v>
      </c>
    </row>
    <row r="235" spans="1:2" x14ac:dyDescent="0.35">
      <c r="A235" s="2" t="s">
        <v>577</v>
      </c>
      <c r="B235" t="s">
        <v>577</v>
      </c>
    </row>
    <row r="236" spans="1:2" x14ac:dyDescent="0.35">
      <c r="A236" s="2" t="s">
        <v>577</v>
      </c>
      <c r="B236" t="s">
        <v>577</v>
      </c>
    </row>
    <row r="237" spans="1:2" x14ac:dyDescent="0.35">
      <c r="A237" s="2" t="s">
        <v>118</v>
      </c>
      <c r="B237" t="s">
        <v>1374</v>
      </c>
    </row>
    <row r="238" spans="1:2" x14ac:dyDescent="0.35">
      <c r="A238" s="2" t="s">
        <v>119</v>
      </c>
      <c r="B238" t="s">
        <v>1081</v>
      </c>
    </row>
    <row r="239" spans="1:2" x14ac:dyDescent="0.35">
      <c r="A239" s="2" t="s">
        <v>578</v>
      </c>
      <c r="B239" t="s">
        <v>578</v>
      </c>
    </row>
    <row r="240" spans="1:2" x14ac:dyDescent="0.35">
      <c r="A240" s="2" t="s">
        <v>120</v>
      </c>
      <c r="B240" t="s">
        <v>1082</v>
      </c>
    </row>
    <row r="241" spans="1:2" x14ac:dyDescent="0.35">
      <c r="A241" s="2" t="s">
        <v>579</v>
      </c>
      <c r="B241" t="s">
        <v>1082</v>
      </c>
    </row>
    <row r="242" spans="1:2" x14ac:dyDescent="0.35">
      <c r="A242" s="2" t="s">
        <v>121</v>
      </c>
      <c r="B242" t="s">
        <v>1375</v>
      </c>
    </row>
    <row r="243" spans="1:2" x14ac:dyDescent="0.35">
      <c r="A243" s="2" t="s">
        <v>122</v>
      </c>
      <c r="B243" t="s">
        <v>1376</v>
      </c>
    </row>
    <row r="244" spans="1:2" x14ac:dyDescent="0.35">
      <c r="A244" s="2" t="s">
        <v>123</v>
      </c>
      <c r="B244" t="s">
        <v>1377</v>
      </c>
    </row>
    <row r="245" spans="1:2" x14ac:dyDescent="0.35">
      <c r="A245" s="2" t="s">
        <v>124</v>
      </c>
      <c r="B245" t="s">
        <v>1083</v>
      </c>
    </row>
    <row r="246" spans="1:2" x14ac:dyDescent="0.35">
      <c r="A246" s="2" t="s">
        <v>125</v>
      </c>
      <c r="B246" t="s">
        <v>1084</v>
      </c>
    </row>
    <row r="247" spans="1:2" x14ac:dyDescent="0.35">
      <c r="A247" s="2" t="s">
        <v>126</v>
      </c>
      <c r="B247" t="s">
        <v>1085</v>
      </c>
    </row>
    <row r="248" spans="1:2" x14ac:dyDescent="0.35">
      <c r="A248" s="2" t="s">
        <v>127</v>
      </c>
      <c r="B248" t="s">
        <v>1086</v>
      </c>
    </row>
    <row r="249" spans="1:2" x14ac:dyDescent="0.35">
      <c r="A249" s="2" t="s">
        <v>580</v>
      </c>
      <c r="B249" t="s">
        <v>1087</v>
      </c>
    </row>
    <row r="250" spans="1:2" x14ac:dyDescent="0.35">
      <c r="A250" s="2" t="s">
        <v>128</v>
      </c>
      <c r="B250" t="s">
        <v>1088</v>
      </c>
    </row>
    <row r="251" spans="1:2" x14ac:dyDescent="0.35">
      <c r="A251" s="2" t="s">
        <v>129</v>
      </c>
      <c r="B251" t="s">
        <v>1089</v>
      </c>
    </row>
    <row r="252" spans="1:2" x14ac:dyDescent="0.35">
      <c r="A252" s="2" t="s">
        <v>130</v>
      </c>
      <c r="B252" t="s">
        <v>1089</v>
      </c>
    </row>
    <row r="253" spans="1:2" x14ac:dyDescent="0.35">
      <c r="A253" s="2" t="s">
        <v>131</v>
      </c>
      <c r="B253" t="s">
        <v>1089</v>
      </c>
    </row>
    <row r="254" spans="1:2" x14ac:dyDescent="0.35">
      <c r="A254" s="2" t="s">
        <v>132</v>
      </c>
      <c r="B254" t="s">
        <v>581</v>
      </c>
    </row>
    <row r="255" spans="1:2" x14ac:dyDescent="0.35">
      <c r="A255" s="2" t="s">
        <v>581</v>
      </c>
      <c r="B255" t="s">
        <v>581</v>
      </c>
    </row>
    <row r="256" spans="1:2" x14ac:dyDescent="0.35">
      <c r="A256" s="2" t="s">
        <v>581</v>
      </c>
      <c r="B256" t="s">
        <v>581</v>
      </c>
    </row>
    <row r="257" spans="1:2" x14ac:dyDescent="0.35">
      <c r="A257" s="2" t="s">
        <v>582</v>
      </c>
      <c r="B257" t="s">
        <v>582</v>
      </c>
    </row>
    <row r="258" spans="1:2" x14ac:dyDescent="0.35">
      <c r="A258" s="2" t="s">
        <v>582</v>
      </c>
      <c r="B258" t="s">
        <v>582</v>
      </c>
    </row>
    <row r="259" spans="1:2" x14ac:dyDescent="0.35">
      <c r="A259" s="2" t="s">
        <v>582</v>
      </c>
      <c r="B259" t="s">
        <v>582</v>
      </c>
    </row>
    <row r="260" spans="1:2" x14ac:dyDescent="0.35">
      <c r="A260" s="2" t="s">
        <v>583</v>
      </c>
      <c r="B260" t="s">
        <v>1090</v>
      </c>
    </row>
    <row r="261" spans="1:2" x14ac:dyDescent="0.35">
      <c r="A261" s="2" t="s">
        <v>584</v>
      </c>
      <c r="B261" t="s">
        <v>1090</v>
      </c>
    </row>
    <row r="262" spans="1:2" x14ac:dyDescent="0.35">
      <c r="A262" s="2" t="s">
        <v>585</v>
      </c>
      <c r="B262" t="s">
        <v>1091</v>
      </c>
    </row>
    <row r="263" spans="1:2" x14ac:dyDescent="0.35">
      <c r="A263" s="2" t="s">
        <v>586</v>
      </c>
      <c r="B263" t="s">
        <v>1092</v>
      </c>
    </row>
    <row r="264" spans="1:2" x14ac:dyDescent="0.35">
      <c r="A264" s="2" t="s">
        <v>587</v>
      </c>
      <c r="B264" t="s">
        <v>1093</v>
      </c>
    </row>
    <row r="265" spans="1:2" x14ac:dyDescent="0.35">
      <c r="A265" s="2" t="s">
        <v>133</v>
      </c>
      <c r="B265" t="s">
        <v>1094</v>
      </c>
    </row>
    <row r="266" spans="1:2" x14ac:dyDescent="0.35">
      <c r="A266" s="2" t="s">
        <v>134</v>
      </c>
      <c r="B266" t="s">
        <v>1095</v>
      </c>
    </row>
    <row r="267" spans="1:2" x14ac:dyDescent="0.35">
      <c r="A267" s="2" t="s">
        <v>135</v>
      </c>
      <c r="B267" t="s">
        <v>1095</v>
      </c>
    </row>
    <row r="268" spans="1:2" x14ac:dyDescent="0.35">
      <c r="A268" s="2" t="s">
        <v>588</v>
      </c>
      <c r="B268" t="s">
        <v>588</v>
      </c>
    </row>
    <row r="269" spans="1:2" x14ac:dyDescent="0.35">
      <c r="A269" s="2" t="s">
        <v>589</v>
      </c>
      <c r="B269" t="s">
        <v>1096</v>
      </c>
    </row>
    <row r="270" spans="1:2" x14ac:dyDescent="0.35">
      <c r="A270" s="2" t="s">
        <v>590</v>
      </c>
      <c r="B270" t="s">
        <v>590</v>
      </c>
    </row>
    <row r="271" spans="1:2" x14ac:dyDescent="0.35">
      <c r="A271" s="2" t="s">
        <v>136</v>
      </c>
      <c r="B271" t="s">
        <v>1097</v>
      </c>
    </row>
    <row r="272" spans="1:2" x14ac:dyDescent="0.35">
      <c r="A272" s="2" t="s">
        <v>137</v>
      </c>
      <c r="B272" t="s">
        <v>1378</v>
      </c>
    </row>
    <row r="273" spans="1:2" x14ac:dyDescent="0.35">
      <c r="A273" s="2" t="s">
        <v>591</v>
      </c>
      <c r="B273" t="s">
        <v>1098</v>
      </c>
    </row>
    <row r="274" spans="1:2" x14ac:dyDescent="0.35">
      <c r="A274" s="2" t="s">
        <v>592</v>
      </c>
      <c r="B274" t="s">
        <v>1099</v>
      </c>
    </row>
    <row r="275" spans="1:2" x14ac:dyDescent="0.35">
      <c r="A275" s="2" t="s">
        <v>593</v>
      </c>
      <c r="B275" t="s">
        <v>1099</v>
      </c>
    </row>
    <row r="276" spans="1:2" x14ac:dyDescent="0.35">
      <c r="A276" s="2" t="s">
        <v>138</v>
      </c>
      <c r="B276" t="s">
        <v>1100</v>
      </c>
    </row>
    <row r="277" spans="1:2" x14ac:dyDescent="0.35">
      <c r="A277" s="2" t="s">
        <v>139</v>
      </c>
      <c r="B277" t="s">
        <v>1100</v>
      </c>
    </row>
    <row r="278" spans="1:2" x14ac:dyDescent="0.35">
      <c r="A278" s="2" t="s">
        <v>140</v>
      </c>
      <c r="B278" t="s">
        <v>1101</v>
      </c>
    </row>
    <row r="279" spans="1:2" x14ac:dyDescent="0.35">
      <c r="A279" s="2" t="s">
        <v>141</v>
      </c>
      <c r="B279" t="s">
        <v>1102</v>
      </c>
    </row>
    <row r="280" spans="1:2" x14ac:dyDescent="0.35">
      <c r="A280" s="2" t="s">
        <v>594</v>
      </c>
      <c r="B280" t="s">
        <v>1103</v>
      </c>
    </row>
    <row r="281" spans="1:2" x14ac:dyDescent="0.35">
      <c r="A281" s="2" t="s">
        <v>595</v>
      </c>
      <c r="B281" t="s">
        <v>1103</v>
      </c>
    </row>
    <row r="282" spans="1:2" x14ac:dyDescent="0.35">
      <c r="A282" s="2" t="s">
        <v>596</v>
      </c>
      <c r="B282" t="s">
        <v>1103</v>
      </c>
    </row>
    <row r="283" spans="1:2" x14ac:dyDescent="0.35">
      <c r="A283" s="2" t="s">
        <v>142</v>
      </c>
      <c r="B283" t="s">
        <v>1104</v>
      </c>
    </row>
    <row r="284" spans="1:2" x14ac:dyDescent="0.35">
      <c r="A284" s="2" t="s">
        <v>143</v>
      </c>
      <c r="B284" t="s">
        <v>1105</v>
      </c>
    </row>
    <row r="285" spans="1:2" x14ac:dyDescent="0.35">
      <c r="A285" s="2" t="s">
        <v>144</v>
      </c>
      <c r="B285" t="s">
        <v>1106</v>
      </c>
    </row>
    <row r="286" spans="1:2" x14ac:dyDescent="0.35">
      <c r="A286" s="2" t="s">
        <v>145</v>
      </c>
      <c r="B286" t="s">
        <v>1107</v>
      </c>
    </row>
    <row r="287" spans="1:2" x14ac:dyDescent="0.35">
      <c r="A287" s="2" t="s">
        <v>597</v>
      </c>
      <c r="B287" t="s">
        <v>1108</v>
      </c>
    </row>
    <row r="288" spans="1:2" x14ac:dyDescent="0.35">
      <c r="A288" s="2" t="s">
        <v>598</v>
      </c>
      <c r="B288" t="s">
        <v>1109</v>
      </c>
    </row>
    <row r="289" spans="1:2" x14ac:dyDescent="0.35">
      <c r="A289" s="2" t="s">
        <v>599</v>
      </c>
      <c r="B289" t="s">
        <v>1110</v>
      </c>
    </row>
    <row r="290" spans="1:2" x14ac:dyDescent="0.35">
      <c r="A290" s="2" t="s">
        <v>600</v>
      </c>
      <c r="B290" t="s">
        <v>1110</v>
      </c>
    </row>
    <row r="291" spans="1:2" x14ac:dyDescent="0.35">
      <c r="A291" s="2" t="s">
        <v>146</v>
      </c>
      <c r="B291" t="s">
        <v>1110</v>
      </c>
    </row>
    <row r="292" spans="1:2" x14ac:dyDescent="0.35">
      <c r="A292" s="2" t="s">
        <v>601</v>
      </c>
      <c r="B292" t="s">
        <v>1111</v>
      </c>
    </row>
    <row r="293" spans="1:2" x14ac:dyDescent="0.35">
      <c r="A293" s="2" t="s">
        <v>602</v>
      </c>
      <c r="B293" t="s">
        <v>1112</v>
      </c>
    </row>
    <row r="294" spans="1:2" x14ac:dyDescent="0.35">
      <c r="A294" s="2" t="s">
        <v>147</v>
      </c>
      <c r="B294" t="s">
        <v>1113</v>
      </c>
    </row>
    <row r="295" spans="1:2" x14ac:dyDescent="0.35">
      <c r="A295" s="2" t="s">
        <v>148</v>
      </c>
      <c r="B295" t="s">
        <v>1114</v>
      </c>
    </row>
    <row r="296" spans="1:2" x14ac:dyDescent="0.35">
      <c r="A296" s="2" t="s">
        <v>149</v>
      </c>
      <c r="B296" t="s">
        <v>1115</v>
      </c>
    </row>
    <row r="297" spans="1:2" x14ac:dyDescent="0.35">
      <c r="A297" s="2" t="s">
        <v>603</v>
      </c>
      <c r="B297" t="s">
        <v>1116</v>
      </c>
    </row>
    <row r="298" spans="1:2" x14ac:dyDescent="0.35">
      <c r="A298" s="2" t="s">
        <v>150</v>
      </c>
      <c r="B298" t="s">
        <v>1117</v>
      </c>
    </row>
    <row r="299" spans="1:2" x14ac:dyDescent="0.35">
      <c r="A299" s="2" t="s">
        <v>151</v>
      </c>
      <c r="B299" t="s">
        <v>1117</v>
      </c>
    </row>
    <row r="300" spans="1:2" x14ac:dyDescent="0.35">
      <c r="A300" s="2" t="s">
        <v>152</v>
      </c>
      <c r="B300" t="s">
        <v>1118</v>
      </c>
    </row>
    <row r="301" spans="1:2" x14ac:dyDescent="0.35">
      <c r="A301" s="2" t="s">
        <v>153</v>
      </c>
      <c r="B301" t="s">
        <v>1118</v>
      </c>
    </row>
    <row r="302" spans="1:2" x14ac:dyDescent="0.35">
      <c r="A302" s="2" t="s">
        <v>154</v>
      </c>
      <c r="B302" t="s">
        <v>1119</v>
      </c>
    </row>
    <row r="303" spans="1:2" x14ac:dyDescent="0.35">
      <c r="A303" s="2" t="s">
        <v>604</v>
      </c>
      <c r="B303" t="s">
        <v>1120</v>
      </c>
    </row>
    <row r="304" spans="1:2" x14ac:dyDescent="0.35">
      <c r="A304" s="2" t="s">
        <v>605</v>
      </c>
      <c r="B304" t="s">
        <v>1121</v>
      </c>
    </row>
    <row r="305" spans="1:2" x14ac:dyDescent="0.35">
      <c r="A305" s="2" t="s">
        <v>155</v>
      </c>
      <c r="B305" t="s">
        <v>1121</v>
      </c>
    </row>
    <row r="306" spans="1:2" x14ac:dyDescent="0.35">
      <c r="A306" s="2" t="s">
        <v>606</v>
      </c>
      <c r="B306" t="s">
        <v>1122</v>
      </c>
    </row>
    <row r="307" spans="1:2" x14ac:dyDescent="0.35">
      <c r="A307" s="2" t="s">
        <v>156</v>
      </c>
      <c r="B307" t="s">
        <v>1379</v>
      </c>
    </row>
    <row r="308" spans="1:2" x14ac:dyDescent="0.35">
      <c r="A308" s="2" t="s">
        <v>607</v>
      </c>
      <c r="B308" t="s">
        <v>1123</v>
      </c>
    </row>
    <row r="309" spans="1:2" x14ac:dyDescent="0.35">
      <c r="A309" s="2" t="s">
        <v>608</v>
      </c>
      <c r="B309" t="s">
        <v>1124</v>
      </c>
    </row>
    <row r="310" spans="1:2" x14ac:dyDescent="0.35">
      <c r="A310" s="2" t="s">
        <v>157</v>
      </c>
      <c r="B310" t="s">
        <v>1380</v>
      </c>
    </row>
    <row r="311" spans="1:2" x14ac:dyDescent="0.35">
      <c r="A311" s="2" t="s">
        <v>158</v>
      </c>
      <c r="B311" t="s">
        <v>1125</v>
      </c>
    </row>
    <row r="312" spans="1:2" x14ac:dyDescent="0.35">
      <c r="A312" s="2" t="s">
        <v>159</v>
      </c>
      <c r="B312" t="s">
        <v>1126</v>
      </c>
    </row>
    <row r="313" spans="1:2" x14ac:dyDescent="0.35">
      <c r="A313" s="2" t="s">
        <v>160</v>
      </c>
      <c r="B313" t="s">
        <v>1127</v>
      </c>
    </row>
    <row r="314" spans="1:2" x14ac:dyDescent="0.35">
      <c r="A314" s="2" t="s">
        <v>161</v>
      </c>
      <c r="B314" t="s">
        <v>1381</v>
      </c>
    </row>
    <row r="315" spans="1:2" x14ac:dyDescent="0.35">
      <c r="A315" s="2" t="s">
        <v>609</v>
      </c>
      <c r="B315" t="s">
        <v>1128</v>
      </c>
    </row>
    <row r="316" spans="1:2" x14ac:dyDescent="0.35">
      <c r="A316" s="2" t="s">
        <v>162</v>
      </c>
      <c r="B316" t="s">
        <v>1382</v>
      </c>
    </row>
    <row r="317" spans="1:2" x14ac:dyDescent="0.35">
      <c r="A317" s="2" t="s">
        <v>610</v>
      </c>
      <c r="B317" t="s">
        <v>1129</v>
      </c>
    </row>
    <row r="318" spans="1:2" x14ac:dyDescent="0.35">
      <c r="A318" s="2" t="s">
        <v>163</v>
      </c>
      <c r="B318" t="s">
        <v>1130</v>
      </c>
    </row>
    <row r="319" spans="1:2" x14ac:dyDescent="0.35">
      <c r="A319" s="2" t="s">
        <v>164</v>
      </c>
      <c r="B319" t="s">
        <v>1131</v>
      </c>
    </row>
    <row r="320" spans="1:2" x14ac:dyDescent="0.35">
      <c r="A320" s="2" t="s">
        <v>165</v>
      </c>
      <c r="B320" t="s">
        <v>1131</v>
      </c>
    </row>
    <row r="321" spans="1:2" x14ac:dyDescent="0.35">
      <c r="A321" s="2" t="s">
        <v>166</v>
      </c>
      <c r="B321" t="s">
        <v>1132</v>
      </c>
    </row>
    <row r="322" spans="1:2" x14ac:dyDescent="0.35">
      <c r="A322" s="2" t="s">
        <v>167</v>
      </c>
      <c r="B322" t="s">
        <v>1132</v>
      </c>
    </row>
    <row r="323" spans="1:2" x14ac:dyDescent="0.35">
      <c r="A323" s="2" t="s">
        <v>168</v>
      </c>
      <c r="B323" t="s">
        <v>1132</v>
      </c>
    </row>
    <row r="324" spans="1:2" x14ac:dyDescent="0.35">
      <c r="A324" s="2" t="s">
        <v>611</v>
      </c>
      <c r="B324" t="s">
        <v>1133</v>
      </c>
    </row>
    <row r="325" spans="1:2" x14ac:dyDescent="0.35">
      <c r="A325" s="2" t="s">
        <v>612</v>
      </c>
      <c r="B325" t="s">
        <v>1133</v>
      </c>
    </row>
    <row r="326" spans="1:2" x14ac:dyDescent="0.35">
      <c r="A326" s="2" t="s">
        <v>169</v>
      </c>
      <c r="B326" t="s">
        <v>1134</v>
      </c>
    </row>
    <row r="327" spans="1:2" x14ac:dyDescent="0.35">
      <c r="A327" s="2" t="s">
        <v>613</v>
      </c>
      <c r="B327" t="s">
        <v>1135</v>
      </c>
    </row>
    <row r="328" spans="1:2" x14ac:dyDescent="0.35">
      <c r="A328" s="2" t="s">
        <v>614</v>
      </c>
      <c r="B328" t="s">
        <v>1136</v>
      </c>
    </row>
    <row r="329" spans="1:2" x14ac:dyDescent="0.35">
      <c r="A329" s="2" t="s">
        <v>170</v>
      </c>
      <c r="B329" t="s">
        <v>1137</v>
      </c>
    </row>
    <row r="330" spans="1:2" x14ac:dyDescent="0.35">
      <c r="A330" s="2" t="s">
        <v>615</v>
      </c>
      <c r="B330" t="s">
        <v>1138</v>
      </c>
    </row>
    <row r="331" spans="1:2" x14ac:dyDescent="0.35">
      <c r="A331" s="2" t="s">
        <v>171</v>
      </c>
      <c r="B331" t="s">
        <v>1139</v>
      </c>
    </row>
    <row r="332" spans="1:2" x14ac:dyDescent="0.35">
      <c r="A332" s="2" t="s">
        <v>172</v>
      </c>
      <c r="B332" t="s">
        <v>1139</v>
      </c>
    </row>
    <row r="333" spans="1:2" x14ac:dyDescent="0.35">
      <c r="A333" s="2" t="s">
        <v>173</v>
      </c>
      <c r="B333" t="s">
        <v>1139</v>
      </c>
    </row>
    <row r="334" spans="1:2" x14ac:dyDescent="0.35">
      <c r="A334" s="2" t="s">
        <v>174</v>
      </c>
      <c r="B334" t="s">
        <v>1139</v>
      </c>
    </row>
    <row r="335" spans="1:2" x14ac:dyDescent="0.35">
      <c r="A335" s="2" t="s">
        <v>616</v>
      </c>
      <c r="B335" t="s">
        <v>1140</v>
      </c>
    </row>
    <row r="336" spans="1:2" x14ac:dyDescent="0.35">
      <c r="A336" s="2" t="s">
        <v>617</v>
      </c>
      <c r="B336" t="s">
        <v>1141</v>
      </c>
    </row>
    <row r="337" spans="1:2" x14ac:dyDescent="0.35">
      <c r="A337" s="2" t="s">
        <v>618</v>
      </c>
      <c r="B337" t="s">
        <v>1141</v>
      </c>
    </row>
    <row r="338" spans="1:2" x14ac:dyDescent="0.35">
      <c r="A338" s="2" t="s">
        <v>175</v>
      </c>
      <c r="B338" t="s">
        <v>1142</v>
      </c>
    </row>
    <row r="339" spans="1:2" x14ac:dyDescent="0.35">
      <c r="A339" s="2" t="s">
        <v>619</v>
      </c>
      <c r="B339" t="s">
        <v>1143</v>
      </c>
    </row>
    <row r="340" spans="1:2" x14ac:dyDescent="0.35">
      <c r="A340" s="2" t="s">
        <v>620</v>
      </c>
      <c r="B340" t="s">
        <v>1143</v>
      </c>
    </row>
    <row r="341" spans="1:2" x14ac:dyDescent="0.35">
      <c r="A341" s="2" t="s">
        <v>621</v>
      </c>
      <c r="B341" t="s">
        <v>1143</v>
      </c>
    </row>
    <row r="342" spans="1:2" x14ac:dyDescent="0.35">
      <c r="A342" s="2" t="s">
        <v>176</v>
      </c>
      <c r="B342" t="s">
        <v>1144</v>
      </c>
    </row>
    <row r="343" spans="1:2" x14ac:dyDescent="0.35">
      <c r="A343" s="2" t="s">
        <v>622</v>
      </c>
      <c r="B343" t="s">
        <v>1145</v>
      </c>
    </row>
    <row r="344" spans="1:2" x14ac:dyDescent="0.35">
      <c r="A344" s="2" t="s">
        <v>623</v>
      </c>
      <c r="B344" t="s">
        <v>623</v>
      </c>
    </row>
    <row r="345" spans="1:2" x14ac:dyDescent="0.35">
      <c r="A345" s="2" t="s">
        <v>623</v>
      </c>
      <c r="B345" t="s">
        <v>623</v>
      </c>
    </row>
    <row r="346" spans="1:2" x14ac:dyDescent="0.35">
      <c r="A346" s="2" t="s">
        <v>624</v>
      </c>
      <c r="B346" t="s">
        <v>1146</v>
      </c>
    </row>
    <row r="347" spans="1:2" x14ac:dyDescent="0.35">
      <c r="A347" s="2" t="s">
        <v>625</v>
      </c>
      <c r="B347" t="s">
        <v>1147</v>
      </c>
    </row>
    <row r="348" spans="1:2" x14ac:dyDescent="0.35">
      <c r="A348" s="2" t="s">
        <v>177</v>
      </c>
      <c r="B348" t="s">
        <v>1148</v>
      </c>
    </row>
    <row r="349" spans="1:2" x14ac:dyDescent="0.35">
      <c r="A349" s="2" t="s">
        <v>626</v>
      </c>
      <c r="B349" t="s">
        <v>626</v>
      </c>
    </row>
    <row r="350" spans="1:2" x14ac:dyDescent="0.35">
      <c r="A350" s="2" t="s">
        <v>626</v>
      </c>
      <c r="B350" t="s">
        <v>626</v>
      </c>
    </row>
    <row r="351" spans="1:2" x14ac:dyDescent="0.35">
      <c r="A351" s="2" t="s">
        <v>626</v>
      </c>
      <c r="B351" t="s">
        <v>626</v>
      </c>
    </row>
    <row r="352" spans="1:2" x14ac:dyDescent="0.35">
      <c r="A352" s="2" t="s">
        <v>627</v>
      </c>
      <c r="B352" t="s">
        <v>1149</v>
      </c>
    </row>
    <row r="353" spans="1:2" x14ac:dyDescent="0.35">
      <c r="A353" s="2" t="s">
        <v>628</v>
      </c>
      <c r="B353" t="s">
        <v>628</v>
      </c>
    </row>
    <row r="354" spans="1:2" x14ac:dyDescent="0.35">
      <c r="A354" s="2" t="s">
        <v>628</v>
      </c>
      <c r="B354" t="s">
        <v>628</v>
      </c>
    </row>
    <row r="355" spans="1:2" x14ac:dyDescent="0.35">
      <c r="A355" s="2" t="s">
        <v>628</v>
      </c>
      <c r="B355" t="s">
        <v>628</v>
      </c>
    </row>
    <row r="356" spans="1:2" x14ac:dyDescent="0.35">
      <c r="A356" s="2" t="s">
        <v>629</v>
      </c>
      <c r="B356" t="s">
        <v>629</v>
      </c>
    </row>
    <row r="357" spans="1:2" x14ac:dyDescent="0.35">
      <c r="A357" s="2" t="s">
        <v>629</v>
      </c>
      <c r="B357" t="s">
        <v>629</v>
      </c>
    </row>
    <row r="358" spans="1:2" x14ac:dyDescent="0.35">
      <c r="A358" s="2" t="s">
        <v>629</v>
      </c>
      <c r="B358" t="s">
        <v>629</v>
      </c>
    </row>
    <row r="359" spans="1:2" x14ac:dyDescent="0.35">
      <c r="A359" s="2" t="s">
        <v>630</v>
      </c>
      <c r="B359" t="s">
        <v>1150</v>
      </c>
    </row>
    <row r="360" spans="1:2" x14ac:dyDescent="0.35">
      <c r="A360" s="2" t="s">
        <v>631</v>
      </c>
      <c r="B360" t="s">
        <v>1151</v>
      </c>
    </row>
    <row r="361" spans="1:2" x14ac:dyDescent="0.35">
      <c r="A361" s="2" t="s">
        <v>632</v>
      </c>
      <c r="B361" t="s">
        <v>1152</v>
      </c>
    </row>
    <row r="362" spans="1:2" x14ac:dyDescent="0.35">
      <c r="A362" s="2" t="s">
        <v>633</v>
      </c>
      <c r="B362" t="s">
        <v>1153</v>
      </c>
    </row>
    <row r="363" spans="1:2" x14ac:dyDescent="0.35">
      <c r="A363" s="2" t="s">
        <v>178</v>
      </c>
      <c r="B363" t="s">
        <v>1154</v>
      </c>
    </row>
    <row r="364" spans="1:2" x14ac:dyDescent="0.35">
      <c r="A364" s="2" t="s">
        <v>634</v>
      </c>
      <c r="B364" t="s">
        <v>1155</v>
      </c>
    </row>
    <row r="365" spans="1:2" x14ac:dyDescent="0.35">
      <c r="A365" s="2" t="s">
        <v>635</v>
      </c>
      <c r="B365" t="s">
        <v>635</v>
      </c>
    </row>
    <row r="366" spans="1:2" x14ac:dyDescent="0.35">
      <c r="A366" s="2" t="s">
        <v>635</v>
      </c>
      <c r="B366" t="s">
        <v>635</v>
      </c>
    </row>
    <row r="367" spans="1:2" x14ac:dyDescent="0.35">
      <c r="A367" s="2" t="s">
        <v>179</v>
      </c>
      <c r="B367" t="s">
        <v>635</v>
      </c>
    </row>
    <row r="368" spans="1:2" x14ac:dyDescent="0.35">
      <c r="A368" s="2" t="s">
        <v>636</v>
      </c>
      <c r="B368" t="s">
        <v>636</v>
      </c>
    </row>
    <row r="369" spans="1:2" x14ac:dyDescent="0.35">
      <c r="A369" s="2" t="s">
        <v>636</v>
      </c>
      <c r="B369" t="s">
        <v>636</v>
      </c>
    </row>
    <row r="370" spans="1:2" x14ac:dyDescent="0.35">
      <c r="A370" s="2" t="s">
        <v>636</v>
      </c>
      <c r="B370" t="s">
        <v>636</v>
      </c>
    </row>
    <row r="371" spans="1:2" x14ac:dyDescent="0.35">
      <c r="A371" s="2" t="s">
        <v>637</v>
      </c>
      <c r="B371" t="s">
        <v>637</v>
      </c>
    </row>
    <row r="372" spans="1:2" x14ac:dyDescent="0.35">
      <c r="A372" s="2" t="s">
        <v>637</v>
      </c>
      <c r="B372" t="s">
        <v>637</v>
      </c>
    </row>
    <row r="373" spans="1:2" x14ac:dyDescent="0.35">
      <c r="A373" s="2" t="s">
        <v>637</v>
      </c>
      <c r="B373" t="s">
        <v>637</v>
      </c>
    </row>
    <row r="374" spans="1:2" x14ac:dyDescent="0.35">
      <c r="A374" s="2" t="s">
        <v>638</v>
      </c>
      <c r="B374" t="s">
        <v>640</v>
      </c>
    </row>
    <row r="375" spans="1:2" x14ac:dyDescent="0.35">
      <c r="A375" s="2" t="s">
        <v>639</v>
      </c>
      <c r="B375" t="s">
        <v>640</v>
      </c>
    </row>
    <row r="376" spans="1:2" x14ac:dyDescent="0.35">
      <c r="A376" s="2" t="s">
        <v>640</v>
      </c>
      <c r="B376" t="s">
        <v>640</v>
      </c>
    </row>
    <row r="377" spans="1:2" x14ac:dyDescent="0.35">
      <c r="A377" s="2" t="s">
        <v>641</v>
      </c>
      <c r="B377" t="s">
        <v>641</v>
      </c>
    </row>
    <row r="378" spans="1:2" x14ac:dyDescent="0.35">
      <c r="A378" s="2" t="s">
        <v>180</v>
      </c>
      <c r="B378" t="s">
        <v>641</v>
      </c>
    </row>
    <row r="379" spans="1:2" x14ac:dyDescent="0.35">
      <c r="A379" s="2" t="s">
        <v>641</v>
      </c>
      <c r="B379" t="s">
        <v>641</v>
      </c>
    </row>
    <row r="380" spans="1:2" x14ac:dyDescent="0.35">
      <c r="A380" s="2" t="s">
        <v>181</v>
      </c>
      <c r="B380" t="s">
        <v>642</v>
      </c>
    </row>
    <row r="381" spans="1:2" x14ac:dyDescent="0.35">
      <c r="A381" s="2" t="s">
        <v>642</v>
      </c>
      <c r="B381" t="s">
        <v>642</v>
      </c>
    </row>
    <row r="382" spans="1:2" x14ac:dyDescent="0.35">
      <c r="A382" s="2" t="s">
        <v>642</v>
      </c>
      <c r="B382" t="s">
        <v>642</v>
      </c>
    </row>
    <row r="383" spans="1:2" x14ac:dyDescent="0.35">
      <c r="A383" s="2" t="s">
        <v>182</v>
      </c>
      <c r="B383" t="s">
        <v>1156</v>
      </c>
    </row>
    <row r="384" spans="1:2" x14ac:dyDescent="0.35">
      <c r="A384" s="2" t="s">
        <v>183</v>
      </c>
      <c r="B384" t="s">
        <v>1383</v>
      </c>
    </row>
    <row r="385" spans="1:2" x14ac:dyDescent="0.35">
      <c r="A385" s="2" t="s">
        <v>643</v>
      </c>
      <c r="B385" t="s">
        <v>643</v>
      </c>
    </row>
    <row r="386" spans="1:2" x14ac:dyDescent="0.35">
      <c r="A386" s="2" t="s">
        <v>644</v>
      </c>
      <c r="B386" t="s">
        <v>643</v>
      </c>
    </row>
    <row r="387" spans="1:2" x14ac:dyDescent="0.35">
      <c r="A387" s="2" t="s">
        <v>645</v>
      </c>
      <c r="B387" t="s">
        <v>1157</v>
      </c>
    </row>
    <row r="388" spans="1:2" x14ac:dyDescent="0.35">
      <c r="A388" s="2" t="s">
        <v>646</v>
      </c>
      <c r="B388" t="s">
        <v>1158</v>
      </c>
    </row>
    <row r="389" spans="1:2" x14ac:dyDescent="0.35">
      <c r="A389" s="2" t="s">
        <v>184</v>
      </c>
      <c r="B389" t="s">
        <v>1384</v>
      </c>
    </row>
    <row r="390" spans="1:2" x14ac:dyDescent="0.35">
      <c r="A390" s="2" t="s">
        <v>647</v>
      </c>
      <c r="B390" t="s">
        <v>1159</v>
      </c>
    </row>
    <row r="391" spans="1:2" x14ac:dyDescent="0.35">
      <c r="A391" s="2" t="s">
        <v>648</v>
      </c>
      <c r="B391" t="s">
        <v>648</v>
      </c>
    </row>
    <row r="392" spans="1:2" x14ac:dyDescent="0.35">
      <c r="A392" s="2" t="s">
        <v>649</v>
      </c>
      <c r="B392" t="s">
        <v>648</v>
      </c>
    </row>
    <row r="393" spans="1:2" x14ac:dyDescent="0.35">
      <c r="A393" s="2" t="s">
        <v>648</v>
      </c>
      <c r="B393" t="s">
        <v>648</v>
      </c>
    </row>
    <row r="394" spans="1:2" x14ac:dyDescent="0.35">
      <c r="A394" s="2" t="s">
        <v>650</v>
      </c>
      <c r="B394" t="s">
        <v>650</v>
      </c>
    </row>
    <row r="395" spans="1:2" x14ac:dyDescent="0.35">
      <c r="A395" s="2" t="s">
        <v>650</v>
      </c>
      <c r="B395" t="s">
        <v>650</v>
      </c>
    </row>
    <row r="396" spans="1:2" x14ac:dyDescent="0.35">
      <c r="A396" s="2" t="s">
        <v>650</v>
      </c>
      <c r="B396" t="s">
        <v>650</v>
      </c>
    </row>
    <row r="397" spans="1:2" x14ac:dyDescent="0.35">
      <c r="A397" s="2" t="s">
        <v>185</v>
      </c>
      <c r="B397" t="s">
        <v>1160</v>
      </c>
    </row>
    <row r="398" spans="1:2" x14ac:dyDescent="0.35">
      <c r="A398" s="2" t="s">
        <v>186</v>
      </c>
      <c r="B398" t="s">
        <v>1160</v>
      </c>
    </row>
    <row r="399" spans="1:2" x14ac:dyDescent="0.35">
      <c r="A399" s="2" t="s">
        <v>187</v>
      </c>
      <c r="B399" t="s">
        <v>1160</v>
      </c>
    </row>
    <row r="400" spans="1:2" x14ac:dyDescent="0.35">
      <c r="A400" s="2" t="s">
        <v>651</v>
      </c>
      <c r="B400" t="s">
        <v>1161</v>
      </c>
    </row>
    <row r="401" spans="1:2" x14ac:dyDescent="0.35">
      <c r="A401" s="2" t="s">
        <v>652</v>
      </c>
      <c r="B401" t="s">
        <v>1161</v>
      </c>
    </row>
    <row r="402" spans="1:2" x14ac:dyDescent="0.35">
      <c r="A402" s="2" t="s">
        <v>653</v>
      </c>
      <c r="B402" t="s">
        <v>654</v>
      </c>
    </row>
    <row r="403" spans="1:2" x14ac:dyDescent="0.35">
      <c r="A403" s="2" t="s">
        <v>654</v>
      </c>
      <c r="B403" t="s">
        <v>654</v>
      </c>
    </row>
    <row r="404" spans="1:2" x14ac:dyDescent="0.35">
      <c r="A404" s="2" t="s">
        <v>188</v>
      </c>
      <c r="B404" t="s">
        <v>1162</v>
      </c>
    </row>
    <row r="405" spans="1:2" x14ac:dyDescent="0.35">
      <c r="A405" s="2" t="s">
        <v>189</v>
      </c>
      <c r="B405" t="s">
        <v>1162</v>
      </c>
    </row>
    <row r="406" spans="1:2" x14ac:dyDescent="0.35">
      <c r="A406" s="2" t="s">
        <v>190</v>
      </c>
      <c r="B406" t="s">
        <v>1163</v>
      </c>
    </row>
    <row r="407" spans="1:2" x14ac:dyDescent="0.35">
      <c r="A407" s="2" t="s">
        <v>655</v>
      </c>
      <c r="B407" t="s">
        <v>1163</v>
      </c>
    </row>
    <row r="408" spans="1:2" x14ac:dyDescent="0.35">
      <c r="A408" s="2" t="s">
        <v>656</v>
      </c>
      <c r="B408" t="s">
        <v>1164</v>
      </c>
    </row>
    <row r="409" spans="1:2" x14ac:dyDescent="0.35">
      <c r="A409" s="2" t="s">
        <v>657</v>
      </c>
      <c r="B409" t="s">
        <v>1164</v>
      </c>
    </row>
    <row r="410" spans="1:2" x14ac:dyDescent="0.35">
      <c r="A410" s="2" t="s">
        <v>191</v>
      </c>
      <c r="B410" t="s">
        <v>1165</v>
      </c>
    </row>
    <row r="411" spans="1:2" x14ac:dyDescent="0.35">
      <c r="A411" s="2" t="s">
        <v>658</v>
      </c>
      <c r="B411" t="s">
        <v>658</v>
      </c>
    </row>
    <row r="412" spans="1:2" x14ac:dyDescent="0.35">
      <c r="A412" s="2" t="s">
        <v>658</v>
      </c>
      <c r="B412" t="s">
        <v>658</v>
      </c>
    </row>
    <row r="413" spans="1:2" x14ac:dyDescent="0.35">
      <c r="A413" s="2" t="s">
        <v>658</v>
      </c>
      <c r="B413" t="s">
        <v>658</v>
      </c>
    </row>
    <row r="414" spans="1:2" x14ac:dyDescent="0.35">
      <c r="A414" s="2" t="s">
        <v>192</v>
      </c>
      <c r="B414" t="s">
        <v>1166</v>
      </c>
    </row>
    <row r="415" spans="1:2" x14ac:dyDescent="0.35">
      <c r="A415" s="2" t="s">
        <v>193</v>
      </c>
      <c r="B415" t="s">
        <v>1166</v>
      </c>
    </row>
    <row r="416" spans="1:2" x14ac:dyDescent="0.35">
      <c r="A416" s="2" t="s">
        <v>194</v>
      </c>
      <c r="B416" t="s">
        <v>1166</v>
      </c>
    </row>
    <row r="417" spans="1:2" x14ac:dyDescent="0.35">
      <c r="A417" s="2" t="s">
        <v>195</v>
      </c>
      <c r="B417" t="s">
        <v>1167</v>
      </c>
    </row>
    <row r="418" spans="1:2" x14ac:dyDescent="0.35">
      <c r="A418" s="2" t="s">
        <v>196</v>
      </c>
      <c r="B418" t="s">
        <v>1167</v>
      </c>
    </row>
    <row r="419" spans="1:2" x14ac:dyDescent="0.35">
      <c r="A419" s="2" t="s">
        <v>197</v>
      </c>
      <c r="B419" t="s">
        <v>1167</v>
      </c>
    </row>
    <row r="420" spans="1:2" x14ac:dyDescent="0.35">
      <c r="A420" s="2" t="s">
        <v>198</v>
      </c>
      <c r="B420" t="s">
        <v>1168</v>
      </c>
    </row>
    <row r="421" spans="1:2" x14ac:dyDescent="0.35">
      <c r="A421" s="2" t="s">
        <v>199</v>
      </c>
      <c r="B421" t="s">
        <v>1168</v>
      </c>
    </row>
    <row r="422" spans="1:2" x14ac:dyDescent="0.35">
      <c r="A422" s="2" t="s">
        <v>200</v>
      </c>
      <c r="B422" t="s">
        <v>1168</v>
      </c>
    </row>
    <row r="423" spans="1:2" x14ac:dyDescent="0.35">
      <c r="A423" s="2" t="s">
        <v>201</v>
      </c>
      <c r="B423" t="s">
        <v>1169</v>
      </c>
    </row>
    <row r="424" spans="1:2" x14ac:dyDescent="0.35">
      <c r="A424" s="2" t="s">
        <v>202</v>
      </c>
      <c r="B424" t="s">
        <v>1169</v>
      </c>
    </row>
    <row r="425" spans="1:2" x14ac:dyDescent="0.35">
      <c r="A425" s="2" t="s">
        <v>203</v>
      </c>
      <c r="B425" t="s">
        <v>1169</v>
      </c>
    </row>
    <row r="426" spans="1:2" x14ac:dyDescent="0.35">
      <c r="A426" s="2" t="s">
        <v>204</v>
      </c>
      <c r="B426" t="s">
        <v>1170</v>
      </c>
    </row>
    <row r="427" spans="1:2" x14ac:dyDescent="0.35">
      <c r="A427" s="2" t="s">
        <v>205</v>
      </c>
      <c r="B427" t="s">
        <v>1171</v>
      </c>
    </row>
    <row r="428" spans="1:2" x14ac:dyDescent="0.35">
      <c r="A428" s="2" t="s">
        <v>659</v>
      </c>
      <c r="B428" t="s">
        <v>1172</v>
      </c>
    </row>
    <row r="429" spans="1:2" x14ac:dyDescent="0.35">
      <c r="A429" s="2" t="s">
        <v>206</v>
      </c>
      <c r="B429" t="s">
        <v>1173</v>
      </c>
    </row>
    <row r="430" spans="1:2" x14ac:dyDescent="0.35">
      <c r="A430" s="2" t="s">
        <v>207</v>
      </c>
      <c r="B430" t="s">
        <v>1174</v>
      </c>
    </row>
    <row r="431" spans="1:2" x14ac:dyDescent="0.35">
      <c r="A431" s="2" t="s">
        <v>660</v>
      </c>
      <c r="B431" t="s">
        <v>1175</v>
      </c>
    </row>
    <row r="432" spans="1:2" x14ac:dyDescent="0.35">
      <c r="A432" s="2" t="s">
        <v>661</v>
      </c>
      <c r="B432" t="s">
        <v>1176</v>
      </c>
    </row>
    <row r="433" spans="1:2" x14ac:dyDescent="0.35">
      <c r="A433" s="2" t="s">
        <v>662</v>
      </c>
      <c r="B433" t="s">
        <v>662</v>
      </c>
    </row>
    <row r="434" spans="1:2" x14ac:dyDescent="0.35">
      <c r="A434" s="2" t="s">
        <v>662</v>
      </c>
      <c r="B434" t="s">
        <v>662</v>
      </c>
    </row>
    <row r="435" spans="1:2" x14ac:dyDescent="0.35">
      <c r="A435" s="2" t="s">
        <v>663</v>
      </c>
      <c r="B435" t="s">
        <v>663</v>
      </c>
    </row>
    <row r="436" spans="1:2" x14ac:dyDescent="0.35">
      <c r="A436" s="2" t="s">
        <v>664</v>
      </c>
      <c r="B436" t="s">
        <v>1177</v>
      </c>
    </row>
    <row r="437" spans="1:2" x14ac:dyDescent="0.35">
      <c r="A437" s="2" t="s">
        <v>665</v>
      </c>
      <c r="B437" t="s">
        <v>1177</v>
      </c>
    </row>
    <row r="438" spans="1:2" x14ac:dyDescent="0.35">
      <c r="A438" s="2" t="s">
        <v>666</v>
      </c>
      <c r="B438" t="s">
        <v>666</v>
      </c>
    </row>
    <row r="439" spans="1:2" x14ac:dyDescent="0.35">
      <c r="A439" s="2" t="s">
        <v>666</v>
      </c>
      <c r="B439" t="s">
        <v>666</v>
      </c>
    </row>
    <row r="440" spans="1:2" x14ac:dyDescent="0.35">
      <c r="A440" s="2" t="s">
        <v>666</v>
      </c>
      <c r="B440" t="s">
        <v>666</v>
      </c>
    </row>
    <row r="441" spans="1:2" x14ac:dyDescent="0.35">
      <c r="A441" s="2" t="s">
        <v>667</v>
      </c>
      <c r="B441" t="s">
        <v>667</v>
      </c>
    </row>
    <row r="442" spans="1:2" x14ac:dyDescent="0.35">
      <c r="A442" s="2" t="s">
        <v>668</v>
      </c>
      <c r="B442" t="s">
        <v>667</v>
      </c>
    </row>
    <row r="443" spans="1:2" x14ac:dyDescent="0.35">
      <c r="A443" s="2" t="s">
        <v>667</v>
      </c>
      <c r="B443" t="s">
        <v>667</v>
      </c>
    </row>
    <row r="444" spans="1:2" x14ac:dyDescent="0.35">
      <c r="A444" s="2" t="s">
        <v>208</v>
      </c>
      <c r="B444" t="s">
        <v>1178</v>
      </c>
    </row>
    <row r="445" spans="1:2" x14ac:dyDescent="0.35">
      <c r="A445" s="2" t="s">
        <v>669</v>
      </c>
      <c r="B445" t="s">
        <v>1179</v>
      </c>
    </row>
    <row r="446" spans="1:2" x14ac:dyDescent="0.35">
      <c r="A446" s="2" t="s">
        <v>670</v>
      </c>
      <c r="B446" t="s">
        <v>1179</v>
      </c>
    </row>
    <row r="447" spans="1:2" x14ac:dyDescent="0.35">
      <c r="A447" s="2" t="s">
        <v>671</v>
      </c>
      <c r="B447" t="s">
        <v>1180</v>
      </c>
    </row>
    <row r="448" spans="1:2" x14ac:dyDescent="0.35">
      <c r="A448" s="2" t="s">
        <v>672</v>
      </c>
      <c r="B448" t="s">
        <v>1180</v>
      </c>
    </row>
    <row r="449" spans="1:2" x14ac:dyDescent="0.35">
      <c r="A449" s="2" t="s">
        <v>209</v>
      </c>
      <c r="B449" t="s">
        <v>1180</v>
      </c>
    </row>
    <row r="450" spans="1:2" x14ac:dyDescent="0.35">
      <c r="A450" s="2" t="s">
        <v>210</v>
      </c>
      <c r="B450" t="s">
        <v>1181</v>
      </c>
    </row>
    <row r="451" spans="1:2" x14ac:dyDescent="0.35">
      <c r="A451" s="2" t="s">
        <v>673</v>
      </c>
      <c r="B451" t="s">
        <v>673</v>
      </c>
    </row>
    <row r="452" spans="1:2" x14ac:dyDescent="0.35">
      <c r="A452" s="2" t="s">
        <v>673</v>
      </c>
      <c r="B452" t="s">
        <v>673</v>
      </c>
    </row>
    <row r="453" spans="1:2" x14ac:dyDescent="0.35">
      <c r="A453" s="2" t="s">
        <v>673</v>
      </c>
      <c r="B453" t="s">
        <v>673</v>
      </c>
    </row>
    <row r="454" spans="1:2" x14ac:dyDescent="0.35">
      <c r="A454" s="2" t="s">
        <v>674</v>
      </c>
      <c r="B454" t="s">
        <v>1182</v>
      </c>
    </row>
    <row r="455" spans="1:2" x14ac:dyDescent="0.35">
      <c r="A455" s="2" t="s">
        <v>675</v>
      </c>
      <c r="B455" t="s">
        <v>1183</v>
      </c>
    </row>
    <row r="456" spans="1:2" x14ac:dyDescent="0.35">
      <c r="A456" s="2" t="s">
        <v>676</v>
      </c>
      <c r="B456" t="s">
        <v>1184</v>
      </c>
    </row>
    <row r="457" spans="1:2" x14ac:dyDescent="0.35">
      <c r="A457" s="2" t="s">
        <v>677</v>
      </c>
      <c r="B457" t="s">
        <v>1185</v>
      </c>
    </row>
    <row r="458" spans="1:2" x14ac:dyDescent="0.35">
      <c r="A458" s="2" t="s">
        <v>211</v>
      </c>
      <c r="B458" t="s">
        <v>1186</v>
      </c>
    </row>
    <row r="459" spans="1:2" x14ac:dyDescent="0.35">
      <c r="A459" s="2" t="s">
        <v>212</v>
      </c>
      <c r="B459" t="s">
        <v>1385</v>
      </c>
    </row>
    <row r="460" spans="1:2" x14ac:dyDescent="0.35">
      <c r="A460" s="2" t="s">
        <v>678</v>
      </c>
      <c r="B460" t="s">
        <v>1187</v>
      </c>
    </row>
    <row r="461" spans="1:2" x14ac:dyDescent="0.35">
      <c r="A461" s="2" t="s">
        <v>679</v>
      </c>
      <c r="B461" t="s">
        <v>1187</v>
      </c>
    </row>
    <row r="462" spans="1:2" x14ac:dyDescent="0.35">
      <c r="A462" s="2" t="s">
        <v>680</v>
      </c>
      <c r="B462" t="s">
        <v>1187</v>
      </c>
    </row>
    <row r="463" spans="1:2" x14ac:dyDescent="0.35">
      <c r="A463" s="2" t="s">
        <v>213</v>
      </c>
      <c r="B463" t="s">
        <v>1187</v>
      </c>
    </row>
    <row r="464" spans="1:2" x14ac:dyDescent="0.35">
      <c r="A464" s="2" t="s">
        <v>214</v>
      </c>
      <c r="B464" t="s">
        <v>1188</v>
      </c>
    </row>
    <row r="465" spans="1:2" x14ac:dyDescent="0.35">
      <c r="A465" s="2" t="s">
        <v>215</v>
      </c>
      <c r="B465" t="s">
        <v>1188</v>
      </c>
    </row>
    <row r="466" spans="1:2" x14ac:dyDescent="0.35">
      <c r="A466" s="2" t="s">
        <v>216</v>
      </c>
      <c r="B466" t="s">
        <v>1188</v>
      </c>
    </row>
    <row r="467" spans="1:2" x14ac:dyDescent="0.35">
      <c r="A467" s="2" t="s">
        <v>681</v>
      </c>
      <c r="B467" t="s">
        <v>681</v>
      </c>
    </row>
    <row r="468" spans="1:2" x14ac:dyDescent="0.35">
      <c r="A468" s="2" t="s">
        <v>217</v>
      </c>
      <c r="B468" t="s">
        <v>681</v>
      </c>
    </row>
    <row r="469" spans="1:2" x14ac:dyDescent="0.35">
      <c r="A469" s="2" t="s">
        <v>218</v>
      </c>
      <c r="B469" t="s">
        <v>681</v>
      </c>
    </row>
    <row r="470" spans="1:2" x14ac:dyDescent="0.35">
      <c r="A470" s="2" t="s">
        <v>219</v>
      </c>
      <c r="B470" t="s">
        <v>1189</v>
      </c>
    </row>
    <row r="471" spans="1:2" x14ac:dyDescent="0.35">
      <c r="A471" s="2" t="s">
        <v>682</v>
      </c>
      <c r="B471" t="s">
        <v>682</v>
      </c>
    </row>
    <row r="472" spans="1:2" x14ac:dyDescent="0.35">
      <c r="A472" s="2" t="s">
        <v>682</v>
      </c>
      <c r="B472" t="s">
        <v>682</v>
      </c>
    </row>
    <row r="473" spans="1:2" x14ac:dyDescent="0.35">
      <c r="A473" s="2" t="s">
        <v>682</v>
      </c>
      <c r="B473" t="s">
        <v>682</v>
      </c>
    </row>
    <row r="474" spans="1:2" x14ac:dyDescent="0.35">
      <c r="A474" s="2" t="s">
        <v>683</v>
      </c>
      <c r="B474" t="s">
        <v>683</v>
      </c>
    </row>
    <row r="475" spans="1:2" x14ac:dyDescent="0.35">
      <c r="A475" s="2" t="s">
        <v>684</v>
      </c>
      <c r="B475" t="s">
        <v>1190</v>
      </c>
    </row>
    <row r="476" spans="1:2" x14ac:dyDescent="0.35">
      <c r="A476" s="2" t="s">
        <v>685</v>
      </c>
      <c r="B476" t="s">
        <v>1190</v>
      </c>
    </row>
    <row r="477" spans="1:2" x14ac:dyDescent="0.35">
      <c r="A477" s="2" t="s">
        <v>686</v>
      </c>
      <c r="B477" t="s">
        <v>1190</v>
      </c>
    </row>
    <row r="478" spans="1:2" x14ac:dyDescent="0.35">
      <c r="A478" s="2" t="s">
        <v>220</v>
      </c>
      <c r="B478" t="s">
        <v>1191</v>
      </c>
    </row>
    <row r="479" spans="1:2" x14ac:dyDescent="0.35">
      <c r="A479" s="2" t="s">
        <v>687</v>
      </c>
      <c r="B479" t="s">
        <v>1191</v>
      </c>
    </row>
    <row r="480" spans="1:2" x14ac:dyDescent="0.35">
      <c r="A480" s="2" t="s">
        <v>688</v>
      </c>
      <c r="B480" t="s">
        <v>1191</v>
      </c>
    </row>
    <row r="481" spans="1:2" x14ac:dyDescent="0.35">
      <c r="A481" s="2" t="s">
        <v>689</v>
      </c>
      <c r="B481" t="s">
        <v>1191</v>
      </c>
    </row>
    <row r="482" spans="1:2" x14ac:dyDescent="0.35">
      <c r="A482" s="2" t="s">
        <v>690</v>
      </c>
      <c r="B482" t="s">
        <v>1192</v>
      </c>
    </row>
    <row r="483" spans="1:2" x14ac:dyDescent="0.35">
      <c r="A483" s="2" t="s">
        <v>691</v>
      </c>
      <c r="B483" t="s">
        <v>1192</v>
      </c>
    </row>
    <row r="484" spans="1:2" x14ac:dyDescent="0.35">
      <c r="A484" s="2" t="s">
        <v>221</v>
      </c>
      <c r="B484" t="s">
        <v>1192</v>
      </c>
    </row>
    <row r="485" spans="1:2" x14ac:dyDescent="0.35">
      <c r="A485" s="2" t="s">
        <v>222</v>
      </c>
      <c r="B485" t="s">
        <v>1192</v>
      </c>
    </row>
    <row r="486" spans="1:2" x14ac:dyDescent="0.35">
      <c r="A486" s="2" t="s">
        <v>692</v>
      </c>
      <c r="B486" t="s">
        <v>1193</v>
      </c>
    </row>
    <row r="487" spans="1:2" x14ac:dyDescent="0.35">
      <c r="A487" s="2" t="s">
        <v>693</v>
      </c>
      <c r="B487" t="s">
        <v>1193</v>
      </c>
    </row>
    <row r="488" spans="1:2" x14ac:dyDescent="0.35">
      <c r="A488" s="2" t="s">
        <v>694</v>
      </c>
      <c r="B488" t="s">
        <v>1193</v>
      </c>
    </row>
    <row r="489" spans="1:2" x14ac:dyDescent="0.35">
      <c r="A489" s="2" t="s">
        <v>695</v>
      </c>
      <c r="B489" t="s">
        <v>1194</v>
      </c>
    </row>
    <row r="490" spans="1:2" x14ac:dyDescent="0.35">
      <c r="A490" s="2" t="s">
        <v>696</v>
      </c>
      <c r="B490" t="s">
        <v>1194</v>
      </c>
    </row>
    <row r="491" spans="1:2" x14ac:dyDescent="0.35">
      <c r="A491" s="2" t="s">
        <v>697</v>
      </c>
      <c r="B491" t="s">
        <v>1194</v>
      </c>
    </row>
    <row r="492" spans="1:2" x14ac:dyDescent="0.35">
      <c r="A492" s="2" t="s">
        <v>698</v>
      </c>
      <c r="B492" t="s">
        <v>1195</v>
      </c>
    </row>
    <row r="493" spans="1:2" x14ac:dyDescent="0.35">
      <c r="A493" s="2" t="s">
        <v>699</v>
      </c>
      <c r="B493" t="s">
        <v>1195</v>
      </c>
    </row>
    <row r="494" spans="1:2" x14ac:dyDescent="0.35">
      <c r="A494" s="2" t="s">
        <v>700</v>
      </c>
      <c r="B494" t="s">
        <v>1195</v>
      </c>
    </row>
    <row r="495" spans="1:2" x14ac:dyDescent="0.35">
      <c r="A495" s="2" t="s">
        <v>701</v>
      </c>
      <c r="B495" t="s">
        <v>1196</v>
      </c>
    </row>
    <row r="496" spans="1:2" x14ac:dyDescent="0.35">
      <c r="A496" s="2" t="s">
        <v>702</v>
      </c>
      <c r="B496" t="s">
        <v>1196</v>
      </c>
    </row>
    <row r="497" spans="1:2" x14ac:dyDescent="0.35">
      <c r="A497" s="2" t="s">
        <v>703</v>
      </c>
      <c r="B497" t="s">
        <v>1197</v>
      </c>
    </row>
    <row r="498" spans="1:2" x14ac:dyDescent="0.35">
      <c r="A498" s="2" t="s">
        <v>223</v>
      </c>
      <c r="B498" t="s">
        <v>1197</v>
      </c>
    </row>
    <row r="499" spans="1:2" x14ac:dyDescent="0.35">
      <c r="A499" s="2" t="s">
        <v>224</v>
      </c>
      <c r="B499" t="s">
        <v>1197</v>
      </c>
    </row>
    <row r="500" spans="1:2" x14ac:dyDescent="0.35">
      <c r="A500" s="2" t="s">
        <v>704</v>
      </c>
      <c r="B500" t="s">
        <v>704</v>
      </c>
    </row>
    <row r="501" spans="1:2" x14ac:dyDescent="0.35">
      <c r="A501" s="2" t="s">
        <v>705</v>
      </c>
      <c r="B501" t="s">
        <v>704</v>
      </c>
    </row>
    <row r="502" spans="1:2" x14ac:dyDescent="0.35">
      <c r="A502" s="2" t="s">
        <v>706</v>
      </c>
      <c r="B502" t="s">
        <v>706</v>
      </c>
    </row>
    <row r="503" spans="1:2" x14ac:dyDescent="0.35">
      <c r="A503" s="2" t="s">
        <v>707</v>
      </c>
      <c r="B503" t="s">
        <v>706</v>
      </c>
    </row>
    <row r="504" spans="1:2" x14ac:dyDescent="0.35">
      <c r="A504" s="2" t="s">
        <v>225</v>
      </c>
      <c r="B504" t="s">
        <v>706</v>
      </c>
    </row>
    <row r="505" spans="1:2" x14ac:dyDescent="0.35">
      <c r="A505" s="2" t="s">
        <v>708</v>
      </c>
      <c r="B505" t="s">
        <v>706</v>
      </c>
    </row>
    <row r="506" spans="1:2" x14ac:dyDescent="0.35">
      <c r="A506" s="2" t="s">
        <v>709</v>
      </c>
      <c r="B506" t="s">
        <v>706</v>
      </c>
    </row>
    <row r="507" spans="1:2" x14ac:dyDescent="0.35">
      <c r="A507" s="2" t="s">
        <v>710</v>
      </c>
      <c r="B507" t="s">
        <v>1198</v>
      </c>
    </row>
    <row r="508" spans="1:2" x14ac:dyDescent="0.35">
      <c r="A508" s="2" t="s">
        <v>711</v>
      </c>
      <c r="B508" t="s">
        <v>1198</v>
      </c>
    </row>
    <row r="509" spans="1:2" x14ac:dyDescent="0.35">
      <c r="A509" s="2" t="s">
        <v>712</v>
      </c>
      <c r="B509" t="s">
        <v>1198</v>
      </c>
    </row>
    <row r="510" spans="1:2" x14ac:dyDescent="0.35">
      <c r="A510" s="2" t="s">
        <v>226</v>
      </c>
      <c r="B510" t="s">
        <v>1199</v>
      </c>
    </row>
    <row r="511" spans="1:2" x14ac:dyDescent="0.35">
      <c r="A511" s="2" t="s">
        <v>227</v>
      </c>
      <c r="B511" t="s">
        <v>1199</v>
      </c>
    </row>
    <row r="512" spans="1:2" x14ac:dyDescent="0.35">
      <c r="A512" s="2" t="s">
        <v>228</v>
      </c>
      <c r="B512" t="s">
        <v>1199</v>
      </c>
    </row>
    <row r="513" spans="1:2" x14ac:dyDescent="0.35">
      <c r="A513" s="2" t="s">
        <v>229</v>
      </c>
      <c r="B513" t="s">
        <v>1200</v>
      </c>
    </row>
    <row r="514" spans="1:2" x14ac:dyDescent="0.35">
      <c r="A514" s="2" t="s">
        <v>230</v>
      </c>
      <c r="B514" t="s">
        <v>1200</v>
      </c>
    </row>
    <row r="515" spans="1:2" x14ac:dyDescent="0.35">
      <c r="A515" s="2" t="s">
        <v>231</v>
      </c>
      <c r="B515" t="s">
        <v>1200</v>
      </c>
    </row>
    <row r="516" spans="1:2" x14ac:dyDescent="0.35">
      <c r="A516" s="2" t="s">
        <v>713</v>
      </c>
      <c r="B516" t="s">
        <v>1201</v>
      </c>
    </row>
    <row r="517" spans="1:2" x14ac:dyDescent="0.35">
      <c r="A517" s="2" t="s">
        <v>714</v>
      </c>
      <c r="B517" t="s">
        <v>1201</v>
      </c>
    </row>
    <row r="518" spans="1:2" x14ac:dyDescent="0.35">
      <c r="A518" s="2" t="s">
        <v>715</v>
      </c>
      <c r="B518" t="s">
        <v>1201</v>
      </c>
    </row>
    <row r="519" spans="1:2" x14ac:dyDescent="0.35">
      <c r="A519" s="2" t="s">
        <v>716</v>
      </c>
      <c r="B519" t="s">
        <v>716</v>
      </c>
    </row>
    <row r="520" spans="1:2" x14ac:dyDescent="0.35">
      <c r="A520" s="2" t="s">
        <v>716</v>
      </c>
      <c r="B520" t="s">
        <v>716</v>
      </c>
    </row>
    <row r="521" spans="1:2" x14ac:dyDescent="0.35">
      <c r="A521" s="2" t="s">
        <v>716</v>
      </c>
      <c r="B521" t="s">
        <v>716</v>
      </c>
    </row>
    <row r="522" spans="1:2" x14ac:dyDescent="0.35">
      <c r="A522" s="2" t="s">
        <v>717</v>
      </c>
      <c r="B522" t="s">
        <v>717</v>
      </c>
    </row>
    <row r="523" spans="1:2" x14ac:dyDescent="0.35">
      <c r="A523" s="2" t="s">
        <v>717</v>
      </c>
      <c r="B523" t="s">
        <v>717</v>
      </c>
    </row>
    <row r="524" spans="1:2" x14ac:dyDescent="0.35">
      <c r="A524" s="2" t="s">
        <v>717</v>
      </c>
      <c r="B524" t="s">
        <v>717</v>
      </c>
    </row>
    <row r="525" spans="1:2" x14ac:dyDescent="0.35">
      <c r="A525" s="2" t="s">
        <v>232</v>
      </c>
      <c r="B525" t="s">
        <v>1202</v>
      </c>
    </row>
    <row r="526" spans="1:2" x14ac:dyDescent="0.35">
      <c r="A526" s="2" t="s">
        <v>233</v>
      </c>
      <c r="B526" t="s">
        <v>1203</v>
      </c>
    </row>
    <row r="527" spans="1:2" x14ac:dyDescent="0.35">
      <c r="A527" s="2" t="s">
        <v>234</v>
      </c>
      <c r="B527" t="s">
        <v>1204</v>
      </c>
    </row>
    <row r="528" spans="1:2" x14ac:dyDescent="0.35">
      <c r="A528" s="2" t="s">
        <v>235</v>
      </c>
      <c r="B528" t="s">
        <v>1205</v>
      </c>
    </row>
    <row r="529" spans="1:2" x14ac:dyDescent="0.35">
      <c r="A529" s="2" t="s">
        <v>718</v>
      </c>
      <c r="B529" t="s">
        <v>718</v>
      </c>
    </row>
    <row r="530" spans="1:2" x14ac:dyDescent="0.35">
      <c r="A530" s="2" t="s">
        <v>236</v>
      </c>
      <c r="B530" t="s">
        <v>1206</v>
      </c>
    </row>
    <row r="531" spans="1:2" x14ac:dyDescent="0.35">
      <c r="A531" s="2" t="s">
        <v>719</v>
      </c>
      <c r="B531" t="s">
        <v>1207</v>
      </c>
    </row>
    <row r="532" spans="1:2" x14ac:dyDescent="0.35">
      <c r="A532" s="2" t="s">
        <v>720</v>
      </c>
      <c r="B532" t="s">
        <v>1208</v>
      </c>
    </row>
    <row r="533" spans="1:2" x14ac:dyDescent="0.35">
      <c r="A533" s="2" t="s">
        <v>237</v>
      </c>
      <c r="B533" t="s">
        <v>1386</v>
      </c>
    </row>
    <row r="534" spans="1:2" x14ac:dyDescent="0.35">
      <c r="A534" s="2" t="s">
        <v>721</v>
      </c>
      <c r="B534" t="s">
        <v>1209</v>
      </c>
    </row>
    <row r="535" spans="1:2" x14ac:dyDescent="0.35">
      <c r="A535" s="2" t="s">
        <v>722</v>
      </c>
      <c r="B535" t="s">
        <v>1210</v>
      </c>
    </row>
    <row r="536" spans="1:2" x14ac:dyDescent="0.35">
      <c r="A536" s="2" t="s">
        <v>723</v>
      </c>
      <c r="B536" t="s">
        <v>1211</v>
      </c>
    </row>
    <row r="537" spans="1:2" x14ac:dyDescent="0.35">
      <c r="A537" s="2" t="s">
        <v>238</v>
      </c>
      <c r="B537" t="s">
        <v>1212</v>
      </c>
    </row>
    <row r="538" spans="1:2" x14ac:dyDescent="0.35">
      <c r="A538" s="2" t="s">
        <v>724</v>
      </c>
      <c r="B538" t="s">
        <v>1213</v>
      </c>
    </row>
    <row r="539" spans="1:2" x14ac:dyDescent="0.35">
      <c r="A539" s="2" t="s">
        <v>725</v>
      </c>
      <c r="B539" t="s">
        <v>1214</v>
      </c>
    </row>
    <row r="540" spans="1:2" x14ac:dyDescent="0.35">
      <c r="A540" s="2" t="s">
        <v>726</v>
      </c>
      <c r="B540" t="s">
        <v>726</v>
      </c>
    </row>
    <row r="541" spans="1:2" x14ac:dyDescent="0.35">
      <c r="A541" s="2" t="s">
        <v>727</v>
      </c>
      <c r="B541" t="s">
        <v>1215</v>
      </c>
    </row>
    <row r="542" spans="1:2" x14ac:dyDescent="0.35">
      <c r="A542" s="2" t="s">
        <v>728</v>
      </c>
      <c r="B542" t="s">
        <v>1216</v>
      </c>
    </row>
    <row r="543" spans="1:2" x14ac:dyDescent="0.35">
      <c r="A543" s="2" t="s">
        <v>239</v>
      </c>
      <c r="B543" t="s">
        <v>1387</v>
      </c>
    </row>
    <row r="544" spans="1:2" x14ac:dyDescent="0.35">
      <c r="A544" s="2" t="s">
        <v>729</v>
      </c>
      <c r="B544" t="s">
        <v>729</v>
      </c>
    </row>
    <row r="545" spans="1:2" x14ac:dyDescent="0.35">
      <c r="A545" s="2" t="s">
        <v>240</v>
      </c>
      <c r="B545" t="s">
        <v>1217</v>
      </c>
    </row>
    <row r="546" spans="1:2" x14ac:dyDescent="0.35">
      <c r="A546" s="2" t="s">
        <v>241</v>
      </c>
      <c r="B546" t="s">
        <v>1218</v>
      </c>
    </row>
    <row r="547" spans="1:2" x14ac:dyDescent="0.35">
      <c r="A547" s="2" t="s">
        <v>242</v>
      </c>
      <c r="B547" t="s">
        <v>1219</v>
      </c>
    </row>
    <row r="548" spans="1:2" x14ac:dyDescent="0.35">
      <c r="A548" s="2" t="s">
        <v>730</v>
      </c>
      <c r="B548" t="s">
        <v>1220</v>
      </c>
    </row>
    <row r="549" spans="1:2" x14ac:dyDescent="0.35">
      <c r="A549" s="2" t="s">
        <v>243</v>
      </c>
      <c r="B549" t="s">
        <v>1220</v>
      </c>
    </row>
    <row r="550" spans="1:2" x14ac:dyDescent="0.35">
      <c r="A550" s="2" t="s">
        <v>244</v>
      </c>
      <c r="B550" t="s">
        <v>1219</v>
      </c>
    </row>
    <row r="551" spans="1:2" x14ac:dyDescent="0.35">
      <c r="A551" s="2" t="s">
        <v>731</v>
      </c>
      <c r="B551" t="s">
        <v>731</v>
      </c>
    </row>
    <row r="552" spans="1:2" x14ac:dyDescent="0.35">
      <c r="A552" s="2" t="s">
        <v>731</v>
      </c>
      <c r="B552" t="s">
        <v>731</v>
      </c>
    </row>
    <row r="553" spans="1:2" x14ac:dyDescent="0.35">
      <c r="A553" s="2" t="s">
        <v>245</v>
      </c>
      <c r="B553" t="s">
        <v>731</v>
      </c>
    </row>
    <row r="554" spans="1:2" x14ac:dyDescent="0.35">
      <c r="A554" s="2" t="s">
        <v>246</v>
      </c>
      <c r="B554" t="s">
        <v>731</v>
      </c>
    </row>
    <row r="555" spans="1:2" x14ac:dyDescent="0.35">
      <c r="A555" s="2" t="s">
        <v>247</v>
      </c>
      <c r="B555" t="s">
        <v>1221</v>
      </c>
    </row>
    <row r="556" spans="1:2" x14ac:dyDescent="0.35">
      <c r="A556" s="2" t="s">
        <v>732</v>
      </c>
      <c r="B556" t="s">
        <v>732</v>
      </c>
    </row>
    <row r="557" spans="1:2" x14ac:dyDescent="0.35">
      <c r="A557" s="2" t="s">
        <v>248</v>
      </c>
      <c r="B557" t="s">
        <v>1222</v>
      </c>
    </row>
    <row r="558" spans="1:2" x14ac:dyDescent="0.35">
      <c r="A558" s="2" t="s">
        <v>733</v>
      </c>
      <c r="B558" t="s">
        <v>733</v>
      </c>
    </row>
    <row r="559" spans="1:2" x14ac:dyDescent="0.35">
      <c r="A559" s="2" t="s">
        <v>733</v>
      </c>
      <c r="B559" t="s">
        <v>733</v>
      </c>
    </row>
    <row r="560" spans="1:2" x14ac:dyDescent="0.35">
      <c r="A560" s="2" t="s">
        <v>733</v>
      </c>
      <c r="B560" t="s">
        <v>733</v>
      </c>
    </row>
    <row r="561" spans="1:2" x14ac:dyDescent="0.35">
      <c r="A561" s="2" t="s">
        <v>249</v>
      </c>
      <c r="B561" t="s">
        <v>733</v>
      </c>
    </row>
    <row r="562" spans="1:2" x14ac:dyDescent="0.35">
      <c r="A562" s="2" t="s">
        <v>734</v>
      </c>
      <c r="B562" t="s">
        <v>734</v>
      </c>
    </row>
    <row r="563" spans="1:2" x14ac:dyDescent="0.35">
      <c r="A563" s="2" t="s">
        <v>735</v>
      </c>
      <c r="B563" t="s">
        <v>1223</v>
      </c>
    </row>
    <row r="564" spans="1:2" x14ac:dyDescent="0.35">
      <c r="A564" s="2" t="s">
        <v>250</v>
      </c>
      <c r="B564" t="s">
        <v>1223</v>
      </c>
    </row>
    <row r="565" spans="1:2" x14ac:dyDescent="0.35">
      <c r="A565" s="2" t="s">
        <v>736</v>
      </c>
      <c r="B565" t="s">
        <v>1223</v>
      </c>
    </row>
    <row r="566" spans="1:2" x14ac:dyDescent="0.35">
      <c r="A566" s="2" t="s">
        <v>737</v>
      </c>
      <c r="B566" s="2" t="s">
        <v>737</v>
      </c>
    </row>
    <row r="567" spans="1:2" x14ac:dyDescent="0.35">
      <c r="A567" s="2" t="s">
        <v>251</v>
      </c>
      <c r="B567" t="s">
        <v>1224</v>
      </c>
    </row>
    <row r="568" spans="1:2" x14ac:dyDescent="0.35">
      <c r="A568" s="2" t="s">
        <v>738</v>
      </c>
      <c r="B568" t="s">
        <v>738</v>
      </c>
    </row>
    <row r="569" spans="1:2" x14ac:dyDescent="0.35">
      <c r="A569" s="2" t="s">
        <v>252</v>
      </c>
      <c r="B569" t="s">
        <v>738</v>
      </c>
    </row>
    <row r="570" spans="1:2" x14ac:dyDescent="0.35">
      <c r="A570" s="2" t="s">
        <v>253</v>
      </c>
      <c r="B570" t="s">
        <v>738</v>
      </c>
    </row>
    <row r="571" spans="1:2" x14ac:dyDescent="0.35">
      <c r="A571" s="2" t="s">
        <v>254</v>
      </c>
      <c r="B571" t="s">
        <v>738</v>
      </c>
    </row>
    <row r="572" spans="1:2" x14ac:dyDescent="0.35">
      <c r="A572" s="2" t="s">
        <v>739</v>
      </c>
      <c r="B572" t="s">
        <v>740</v>
      </c>
    </row>
    <row r="573" spans="1:2" x14ac:dyDescent="0.35">
      <c r="A573" s="2" t="s">
        <v>740</v>
      </c>
      <c r="B573" t="s">
        <v>740</v>
      </c>
    </row>
    <row r="574" spans="1:2" x14ac:dyDescent="0.35">
      <c r="A574" s="2" t="s">
        <v>741</v>
      </c>
      <c r="B574" t="s">
        <v>740</v>
      </c>
    </row>
    <row r="575" spans="1:2" x14ac:dyDescent="0.35">
      <c r="A575" s="2" t="s">
        <v>742</v>
      </c>
      <c r="B575" t="s">
        <v>742</v>
      </c>
    </row>
    <row r="576" spans="1:2" x14ac:dyDescent="0.35">
      <c r="A576" s="2" t="s">
        <v>742</v>
      </c>
      <c r="B576" t="s">
        <v>742</v>
      </c>
    </row>
    <row r="577" spans="1:2" x14ac:dyDescent="0.35">
      <c r="A577" s="2" t="s">
        <v>742</v>
      </c>
      <c r="B577" t="s">
        <v>742</v>
      </c>
    </row>
    <row r="578" spans="1:2" x14ac:dyDescent="0.35">
      <c r="A578" s="2" t="s">
        <v>255</v>
      </c>
      <c r="B578" t="s">
        <v>742</v>
      </c>
    </row>
    <row r="579" spans="1:2" x14ac:dyDescent="0.35">
      <c r="A579" s="2" t="s">
        <v>256</v>
      </c>
      <c r="B579" t="s">
        <v>1388</v>
      </c>
    </row>
    <row r="580" spans="1:2" x14ac:dyDescent="0.35">
      <c r="A580" s="2" t="s">
        <v>743</v>
      </c>
      <c r="B580" t="s">
        <v>743</v>
      </c>
    </row>
    <row r="581" spans="1:2" x14ac:dyDescent="0.35">
      <c r="A581" s="2" t="s">
        <v>257</v>
      </c>
      <c r="B581" t="s">
        <v>1389</v>
      </c>
    </row>
    <row r="582" spans="1:2" x14ac:dyDescent="0.35">
      <c r="A582" s="2" t="s">
        <v>258</v>
      </c>
      <c r="B582" t="s">
        <v>1225</v>
      </c>
    </row>
    <row r="583" spans="1:2" x14ac:dyDescent="0.35">
      <c r="A583" s="2" t="s">
        <v>744</v>
      </c>
      <c r="B583" t="s">
        <v>1225</v>
      </c>
    </row>
    <row r="584" spans="1:2" x14ac:dyDescent="0.35">
      <c r="A584" s="2" t="s">
        <v>745</v>
      </c>
      <c r="B584" t="s">
        <v>745</v>
      </c>
    </row>
    <row r="585" spans="1:2" x14ac:dyDescent="0.35">
      <c r="A585" s="2" t="s">
        <v>745</v>
      </c>
      <c r="B585" t="s">
        <v>745</v>
      </c>
    </row>
    <row r="586" spans="1:2" x14ac:dyDescent="0.35">
      <c r="A586" s="2" t="s">
        <v>745</v>
      </c>
      <c r="B586" t="s">
        <v>745</v>
      </c>
    </row>
    <row r="587" spans="1:2" x14ac:dyDescent="0.35">
      <c r="A587" s="2" t="s">
        <v>259</v>
      </c>
      <c r="B587" t="s">
        <v>1226</v>
      </c>
    </row>
    <row r="588" spans="1:2" x14ac:dyDescent="0.35">
      <c r="A588" s="2" t="s">
        <v>260</v>
      </c>
      <c r="B588" t="s">
        <v>1227</v>
      </c>
    </row>
    <row r="589" spans="1:2" x14ac:dyDescent="0.35">
      <c r="A589" s="2" t="s">
        <v>261</v>
      </c>
      <c r="B589" t="s">
        <v>1390</v>
      </c>
    </row>
    <row r="590" spans="1:2" x14ac:dyDescent="0.35">
      <c r="A590" s="2" t="s">
        <v>746</v>
      </c>
      <c r="B590" t="s">
        <v>746</v>
      </c>
    </row>
    <row r="591" spans="1:2" x14ac:dyDescent="0.35">
      <c r="A591" s="2" t="s">
        <v>262</v>
      </c>
      <c r="B591" t="s">
        <v>746</v>
      </c>
    </row>
    <row r="592" spans="1:2" x14ac:dyDescent="0.35">
      <c r="A592" s="2" t="s">
        <v>747</v>
      </c>
      <c r="B592" t="s">
        <v>747</v>
      </c>
    </row>
    <row r="593" spans="1:2" x14ac:dyDescent="0.35">
      <c r="A593" s="2" t="s">
        <v>747</v>
      </c>
      <c r="B593" t="s">
        <v>747</v>
      </c>
    </row>
    <row r="594" spans="1:2" x14ac:dyDescent="0.35">
      <c r="A594" s="2" t="s">
        <v>748</v>
      </c>
      <c r="B594" t="s">
        <v>747</v>
      </c>
    </row>
    <row r="595" spans="1:2" x14ac:dyDescent="0.35">
      <c r="A595" s="2" t="s">
        <v>749</v>
      </c>
      <c r="B595" t="s">
        <v>747</v>
      </c>
    </row>
    <row r="596" spans="1:2" x14ac:dyDescent="0.35">
      <c r="A596" s="2" t="s">
        <v>750</v>
      </c>
      <c r="B596" t="s">
        <v>750</v>
      </c>
    </row>
    <row r="597" spans="1:2" x14ac:dyDescent="0.35">
      <c r="A597" s="2" t="s">
        <v>750</v>
      </c>
      <c r="B597" t="s">
        <v>750</v>
      </c>
    </row>
    <row r="598" spans="1:2" x14ac:dyDescent="0.35">
      <c r="A598" s="2" t="s">
        <v>750</v>
      </c>
      <c r="B598" t="s">
        <v>750</v>
      </c>
    </row>
    <row r="599" spans="1:2" x14ac:dyDescent="0.35">
      <c r="A599" s="2" t="s">
        <v>263</v>
      </c>
      <c r="B599" t="s">
        <v>750</v>
      </c>
    </row>
    <row r="600" spans="1:2" x14ac:dyDescent="0.35">
      <c r="A600" s="2" t="s">
        <v>264</v>
      </c>
      <c r="B600" t="s">
        <v>1228</v>
      </c>
    </row>
    <row r="601" spans="1:2" x14ac:dyDescent="0.35">
      <c r="A601" s="2" t="s">
        <v>265</v>
      </c>
      <c r="B601" t="s">
        <v>1228</v>
      </c>
    </row>
    <row r="602" spans="1:2" x14ac:dyDescent="0.35">
      <c r="A602" s="2" t="s">
        <v>266</v>
      </c>
      <c r="B602" t="s">
        <v>1228</v>
      </c>
    </row>
    <row r="603" spans="1:2" x14ac:dyDescent="0.35">
      <c r="A603" s="2" t="s">
        <v>267</v>
      </c>
      <c r="B603" t="s">
        <v>1228</v>
      </c>
    </row>
    <row r="604" spans="1:2" x14ac:dyDescent="0.35">
      <c r="A604" s="2" t="s">
        <v>268</v>
      </c>
      <c r="B604" t="s">
        <v>751</v>
      </c>
    </row>
    <row r="605" spans="1:2" x14ac:dyDescent="0.35">
      <c r="A605" s="2" t="s">
        <v>751</v>
      </c>
      <c r="B605" t="s">
        <v>751</v>
      </c>
    </row>
    <row r="606" spans="1:2" x14ac:dyDescent="0.35">
      <c r="A606" s="2" t="s">
        <v>751</v>
      </c>
      <c r="B606" t="s">
        <v>751</v>
      </c>
    </row>
    <row r="607" spans="1:2" x14ac:dyDescent="0.35">
      <c r="A607" s="2" t="s">
        <v>751</v>
      </c>
      <c r="B607" t="s">
        <v>751</v>
      </c>
    </row>
    <row r="608" spans="1:2" x14ac:dyDescent="0.35">
      <c r="A608" s="2" t="s">
        <v>751</v>
      </c>
      <c r="B608" t="s">
        <v>751</v>
      </c>
    </row>
    <row r="609" spans="1:2" x14ac:dyDescent="0.35">
      <c r="A609" s="2" t="s">
        <v>752</v>
      </c>
      <c r="B609" t="s">
        <v>1229</v>
      </c>
    </row>
    <row r="610" spans="1:2" x14ac:dyDescent="0.35">
      <c r="A610" s="2" t="s">
        <v>753</v>
      </c>
      <c r="B610" t="s">
        <v>1230</v>
      </c>
    </row>
    <row r="611" spans="1:2" x14ac:dyDescent="0.35">
      <c r="A611" s="2" t="s">
        <v>754</v>
      </c>
      <c r="B611" t="s">
        <v>1231</v>
      </c>
    </row>
    <row r="612" spans="1:2" x14ac:dyDescent="0.35">
      <c r="A612" s="2" t="s">
        <v>269</v>
      </c>
      <c r="B612" t="s">
        <v>1391</v>
      </c>
    </row>
    <row r="613" spans="1:2" x14ac:dyDescent="0.35">
      <c r="A613" s="2" t="s">
        <v>270</v>
      </c>
      <c r="B613" t="s">
        <v>1392</v>
      </c>
    </row>
    <row r="614" spans="1:2" x14ac:dyDescent="0.35">
      <c r="A614" s="2" t="s">
        <v>271</v>
      </c>
      <c r="B614" t="s">
        <v>1393</v>
      </c>
    </row>
    <row r="615" spans="1:2" x14ac:dyDescent="0.35">
      <c r="A615" s="2" t="s">
        <v>755</v>
      </c>
      <c r="B615" t="s">
        <v>1394</v>
      </c>
    </row>
    <row r="616" spans="1:2" x14ac:dyDescent="0.35">
      <c r="A616" s="2" t="s">
        <v>272</v>
      </c>
      <c r="B616" t="s">
        <v>1232</v>
      </c>
    </row>
    <row r="617" spans="1:2" x14ac:dyDescent="0.35">
      <c r="A617" s="2" t="s">
        <v>756</v>
      </c>
      <c r="B617" t="s">
        <v>1233</v>
      </c>
    </row>
    <row r="618" spans="1:2" x14ac:dyDescent="0.35">
      <c r="A618" s="2" t="s">
        <v>757</v>
      </c>
      <c r="B618" t="s">
        <v>757</v>
      </c>
    </row>
    <row r="619" spans="1:2" x14ac:dyDescent="0.35">
      <c r="A619" s="2" t="s">
        <v>273</v>
      </c>
      <c r="B619" t="s">
        <v>1234</v>
      </c>
    </row>
    <row r="620" spans="1:2" x14ac:dyDescent="0.35">
      <c r="A620" s="2" t="s">
        <v>758</v>
      </c>
      <c r="B620" t="s">
        <v>1235</v>
      </c>
    </row>
    <row r="621" spans="1:2" x14ac:dyDescent="0.35">
      <c r="A621" s="2" t="s">
        <v>274</v>
      </c>
      <c r="B621" t="s">
        <v>1236</v>
      </c>
    </row>
    <row r="622" spans="1:2" x14ac:dyDescent="0.35">
      <c r="A622" s="2" t="s">
        <v>275</v>
      </c>
      <c r="B622" t="s">
        <v>1237</v>
      </c>
    </row>
    <row r="623" spans="1:2" x14ac:dyDescent="0.35">
      <c r="A623" s="2" t="s">
        <v>759</v>
      </c>
      <c r="B623" t="s">
        <v>1238</v>
      </c>
    </row>
    <row r="624" spans="1:2" x14ac:dyDescent="0.35">
      <c r="A624" s="2" t="s">
        <v>760</v>
      </c>
      <c r="B624" t="s">
        <v>1239</v>
      </c>
    </row>
    <row r="625" spans="1:2" x14ac:dyDescent="0.35">
      <c r="A625" s="2" t="s">
        <v>761</v>
      </c>
      <c r="B625" t="s">
        <v>761</v>
      </c>
    </row>
    <row r="626" spans="1:2" x14ac:dyDescent="0.35">
      <c r="A626" s="2" t="s">
        <v>762</v>
      </c>
      <c r="B626" t="s">
        <v>1240</v>
      </c>
    </row>
    <row r="627" spans="1:2" x14ac:dyDescent="0.35">
      <c r="A627" s="2" t="s">
        <v>763</v>
      </c>
      <c r="B627" t="s">
        <v>1241</v>
      </c>
    </row>
    <row r="628" spans="1:2" x14ac:dyDescent="0.35">
      <c r="A628" s="2" t="s">
        <v>764</v>
      </c>
      <c r="B628" t="s">
        <v>764</v>
      </c>
    </row>
    <row r="629" spans="1:2" x14ac:dyDescent="0.35">
      <c r="A629" s="2" t="s">
        <v>765</v>
      </c>
      <c r="B629" t="s">
        <v>764</v>
      </c>
    </row>
    <row r="630" spans="1:2" x14ac:dyDescent="0.35">
      <c r="A630" s="2" t="s">
        <v>276</v>
      </c>
      <c r="B630" t="s">
        <v>1395</v>
      </c>
    </row>
    <row r="631" spans="1:2" x14ac:dyDescent="0.35">
      <c r="A631" s="2" t="s">
        <v>766</v>
      </c>
      <c r="B631" t="s">
        <v>1242</v>
      </c>
    </row>
    <row r="632" spans="1:2" x14ac:dyDescent="0.35">
      <c r="A632" s="2" t="s">
        <v>767</v>
      </c>
      <c r="B632" t="s">
        <v>767</v>
      </c>
    </row>
    <row r="633" spans="1:2" x14ac:dyDescent="0.35">
      <c r="A633" s="2" t="s">
        <v>277</v>
      </c>
      <c r="B633" t="s">
        <v>1243</v>
      </c>
    </row>
    <row r="634" spans="1:2" x14ac:dyDescent="0.35">
      <c r="A634" s="2" t="s">
        <v>768</v>
      </c>
      <c r="B634" t="s">
        <v>768</v>
      </c>
    </row>
    <row r="635" spans="1:2" x14ac:dyDescent="0.35">
      <c r="A635" s="2" t="s">
        <v>768</v>
      </c>
      <c r="B635" t="s">
        <v>768</v>
      </c>
    </row>
    <row r="636" spans="1:2" x14ac:dyDescent="0.35">
      <c r="A636" s="2" t="s">
        <v>768</v>
      </c>
      <c r="B636" t="s">
        <v>768</v>
      </c>
    </row>
    <row r="637" spans="1:2" x14ac:dyDescent="0.35">
      <c r="A637" s="2" t="s">
        <v>278</v>
      </c>
      <c r="B637" t="s">
        <v>768</v>
      </c>
    </row>
    <row r="638" spans="1:2" x14ac:dyDescent="0.35">
      <c r="A638" s="2" t="s">
        <v>769</v>
      </c>
      <c r="B638" t="s">
        <v>769</v>
      </c>
    </row>
    <row r="639" spans="1:2" x14ac:dyDescent="0.35">
      <c r="A639" s="2" t="s">
        <v>769</v>
      </c>
      <c r="B639" t="s">
        <v>769</v>
      </c>
    </row>
    <row r="640" spans="1:2" x14ac:dyDescent="0.35">
      <c r="A640" s="2" t="s">
        <v>769</v>
      </c>
      <c r="B640" t="s">
        <v>769</v>
      </c>
    </row>
    <row r="641" spans="1:2" x14ac:dyDescent="0.35">
      <c r="A641" s="2" t="s">
        <v>770</v>
      </c>
      <c r="B641" t="s">
        <v>770</v>
      </c>
    </row>
    <row r="642" spans="1:2" x14ac:dyDescent="0.35">
      <c r="A642" s="2" t="s">
        <v>771</v>
      </c>
      <c r="B642" t="s">
        <v>770</v>
      </c>
    </row>
    <row r="643" spans="1:2" x14ac:dyDescent="0.35">
      <c r="A643" s="2" t="s">
        <v>772</v>
      </c>
      <c r="B643" t="s">
        <v>772</v>
      </c>
    </row>
    <row r="644" spans="1:2" x14ac:dyDescent="0.35">
      <c r="A644" s="2" t="s">
        <v>772</v>
      </c>
      <c r="B644" t="s">
        <v>772</v>
      </c>
    </row>
    <row r="645" spans="1:2" x14ac:dyDescent="0.35">
      <c r="A645" s="2" t="s">
        <v>773</v>
      </c>
      <c r="B645" t="s">
        <v>1244</v>
      </c>
    </row>
    <row r="646" spans="1:2" x14ac:dyDescent="0.35">
      <c r="A646" s="2" t="s">
        <v>774</v>
      </c>
      <c r="B646" t="s">
        <v>1245</v>
      </c>
    </row>
    <row r="647" spans="1:2" x14ac:dyDescent="0.35">
      <c r="A647" s="2" t="s">
        <v>775</v>
      </c>
      <c r="B647" t="s">
        <v>1246</v>
      </c>
    </row>
    <row r="648" spans="1:2" x14ac:dyDescent="0.35">
      <c r="A648" s="2" t="s">
        <v>279</v>
      </c>
      <c r="B648" t="s">
        <v>1396</v>
      </c>
    </row>
    <row r="649" spans="1:2" x14ac:dyDescent="0.35">
      <c r="A649" s="2" t="s">
        <v>776</v>
      </c>
      <c r="B649" t="s">
        <v>1247</v>
      </c>
    </row>
    <row r="650" spans="1:2" x14ac:dyDescent="0.35">
      <c r="A650" s="2" t="s">
        <v>777</v>
      </c>
      <c r="B650" t="s">
        <v>1248</v>
      </c>
    </row>
    <row r="651" spans="1:2" x14ac:dyDescent="0.35">
      <c r="A651" s="2" t="s">
        <v>280</v>
      </c>
      <c r="B651" t="s">
        <v>778</v>
      </c>
    </row>
    <row r="652" spans="1:2" x14ac:dyDescent="0.35">
      <c r="A652" s="2" t="s">
        <v>778</v>
      </c>
      <c r="B652" t="s">
        <v>778</v>
      </c>
    </row>
    <row r="653" spans="1:2" x14ac:dyDescent="0.35">
      <c r="A653" s="2" t="s">
        <v>281</v>
      </c>
      <c r="B653" t="s">
        <v>778</v>
      </c>
    </row>
    <row r="654" spans="1:2" x14ac:dyDescent="0.35">
      <c r="A654" s="2" t="s">
        <v>282</v>
      </c>
      <c r="B654" t="s">
        <v>1249</v>
      </c>
    </row>
    <row r="655" spans="1:2" x14ac:dyDescent="0.35">
      <c r="A655" s="2" t="s">
        <v>283</v>
      </c>
      <c r="B655" t="s">
        <v>1249</v>
      </c>
    </row>
    <row r="656" spans="1:2" x14ac:dyDescent="0.35">
      <c r="A656" s="2" t="s">
        <v>284</v>
      </c>
      <c r="B656" t="s">
        <v>1249</v>
      </c>
    </row>
    <row r="657" spans="1:2" x14ac:dyDescent="0.35">
      <c r="A657" s="2" t="s">
        <v>285</v>
      </c>
      <c r="B657" t="s">
        <v>1250</v>
      </c>
    </row>
    <row r="658" spans="1:2" x14ac:dyDescent="0.35">
      <c r="A658" s="2" t="s">
        <v>779</v>
      </c>
      <c r="B658" t="s">
        <v>779</v>
      </c>
    </row>
    <row r="659" spans="1:2" x14ac:dyDescent="0.35">
      <c r="A659" s="2" t="s">
        <v>779</v>
      </c>
      <c r="B659" t="s">
        <v>779</v>
      </c>
    </row>
    <row r="660" spans="1:2" x14ac:dyDescent="0.35">
      <c r="A660" s="2" t="s">
        <v>779</v>
      </c>
      <c r="B660" t="s">
        <v>779</v>
      </c>
    </row>
    <row r="661" spans="1:2" x14ac:dyDescent="0.35">
      <c r="A661" s="2" t="s">
        <v>780</v>
      </c>
      <c r="B661" t="s">
        <v>780</v>
      </c>
    </row>
    <row r="662" spans="1:2" x14ac:dyDescent="0.35">
      <c r="A662" s="2" t="s">
        <v>780</v>
      </c>
      <c r="B662" t="s">
        <v>780</v>
      </c>
    </row>
    <row r="663" spans="1:2" x14ac:dyDescent="0.35">
      <c r="A663" s="2" t="s">
        <v>780</v>
      </c>
      <c r="B663" t="s">
        <v>780</v>
      </c>
    </row>
    <row r="664" spans="1:2" x14ac:dyDescent="0.35">
      <c r="A664" s="2" t="s">
        <v>781</v>
      </c>
      <c r="B664" t="s">
        <v>1251</v>
      </c>
    </row>
    <row r="665" spans="1:2" x14ac:dyDescent="0.35">
      <c r="A665" s="2" t="s">
        <v>286</v>
      </c>
      <c r="B665" t="s">
        <v>1397</v>
      </c>
    </row>
    <row r="666" spans="1:2" x14ac:dyDescent="0.35">
      <c r="A666" s="2" t="s">
        <v>782</v>
      </c>
      <c r="B666" t="s">
        <v>782</v>
      </c>
    </row>
    <row r="667" spans="1:2" x14ac:dyDescent="0.35">
      <c r="A667" s="2" t="s">
        <v>783</v>
      </c>
      <c r="B667" t="s">
        <v>783</v>
      </c>
    </row>
    <row r="668" spans="1:2" x14ac:dyDescent="0.35">
      <c r="A668" s="2" t="s">
        <v>287</v>
      </c>
      <c r="B668" t="s">
        <v>1252</v>
      </c>
    </row>
    <row r="669" spans="1:2" x14ac:dyDescent="0.35">
      <c r="A669" s="2" t="s">
        <v>784</v>
      </c>
      <c r="B669" t="s">
        <v>1253</v>
      </c>
    </row>
    <row r="670" spans="1:2" x14ac:dyDescent="0.35">
      <c r="A670" s="2" t="s">
        <v>785</v>
      </c>
      <c r="B670" t="s">
        <v>1253</v>
      </c>
    </row>
    <row r="671" spans="1:2" x14ac:dyDescent="0.35">
      <c r="A671" s="2" t="s">
        <v>786</v>
      </c>
      <c r="B671" t="s">
        <v>1253</v>
      </c>
    </row>
    <row r="672" spans="1:2" x14ac:dyDescent="0.35">
      <c r="A672" s="2" t="s">
        <v>787</v>
      </c>
      <c r="B672" t="s">
        <v>1254</v>
      </c>
    </row>
    <row r="673" spans="1:2" x14ac:dyDescent="0.35">
      <c r="A673" s="2" t="s">
        <v>788</v>
      </c>
      <c r="B673" t="s">
        <v>1255</v>
      </c>
    </row>
    <row r="674" spans="1:2" x14ac:dyDescent="0.35">
      <c r="A674" s="2" t="s">
        <v>789</v>
      </c>
      <c r="B674" t="s">
        <v>1255</v>
      </c>
    </row>
    <row r="675" spans="1:2" x14ac:dyDescent="0.35">
      <c r="A675" s="2" t="s">
        <v>790</v>
      </c>
      <c r="B675" t="s">
        <v>1255</v>
      </c>
    </row>
    <row r="676" spans="1:2" x14ac:dyDescent="0.35">
      <c r="A676" s="2" t="s">
        <v>791</v>
      </c>
      <c r="B676" t="s">
        <v>1256</v>
      </c>
    </row>
    <row r="677" spans="1:2" x14ac:dyDescent="0.35">
      <c r="A677" s="2" t="s">
        <v>792</v>
      </c>
      <c r="B677" t="s">
        <v>1256</v>
      </c>
    </row>
    <row r="678" spans="1:2" x14ac:dyDescent="0.35">
      <c r="A678" s="2" t="s">
        <v>949</v>
      </c>
      <c r="B678" t="s">
        <v>949</v>
      </c>
    </row>
    <row r="679" spans="1:2" x14ac:dyDescent="0.35">
      <c r="A679" s="2" t="s">
        <v>949</v>
      </c>
      <c r="B679" t="s">
        <v>949</v>
      </c>
    </row>
    <row r="680" spans="1:2" x14ac:dyDescent="0.35">
      <c r="A680" s="2" t="s">
        <v>949</v>
      </c>
      <c r="B680" t="s">
        <v>949</v>
      </c>
    </row>
    <row r="681" spans="1:2" x14ac:dyDescent="0.35">
      <c r="A681" s="2" t="s">
        <v>793</v>
      </c>
      <c r="B681" t="s">
        <v>793</v>
      </c>
    </row>
    <row r="682" spans="1:2" x14ac:dyDescent="0.35">
      <c r="A682" s="2" t="s">
        <v>794</v>
      </c>
      <c r="B682" t="s">
        <v>1257</v>
      </c>
    </row>
    <row r="683" spans="1:2" x14ac:dyDescent="0.35">
      <c r="A683" s="2" t="s">
        <v>288</v>
      </c>
      <c r="B683" t="s">
        <v>1257</v>
      </c>
    </row>
    <row r="684" spans="1:2" x14ac:dyDescent="0.35">
      <c r="A684" s="2" t="s">
        <v>795</v>
      </c>
      <c r="B684" t="s">
        <v>1258</v>
      </c>
    </row>
    <row r="685" spans="1:2" x14ac:dyDescent="0.35">
      <c r="A685" s="2" t="s">
        <v>796</v>
      </c>
      <c r="B685" t="s">
        <v>1259</v>
      </c>
    </row>
    <row r="686" spans="1:2" x14ac:dyDescent="0.35">
      <c r="A686" s="2" t="s">
        <v>289</v>
      </c>
      <c r="B686" t="s">
        <v>1260</v>
      </c>
    </row>
    <row r="687" spans="1:2" x14ac:dyDescent="0.35">
      <c r="A687" s="2" t="s">
        <v>797</v>
      </c>
      <c r="B687" t="s">
        <v>1261</v>
      </c>
    </row>
    <row r="688" spans="1:2" x14ac:dyDescent="0.35">
      <c r="A688" s="2" t="s">
        <v>798</v>
      </c>
      <c r="B688" t="s">
        <v>1262</v>
      </c>
    </row>
    <row r="689" spans="1:2" x14ac:dyDescent="0.35">
      <c r="A689" s="2" t="s">
        <v>799</v>
      </c>
      <c r="B689" t="s">
        <v>1263</v>
      </c>
    </row>
    <row r="690" spans="1:2" x14ac:dyDescent="0.35">
      <c r="A690" s="2" t="s">
        <v>800</v>
      </c>
      <c r="B690" t="s">
        <v>1263</v>
      </c>
    </row>
    <row r="691" spans="1:2" x14ac:dyDescent="0.35">
      <c r="A691" s="2" t="s">
        <v>801</v>
      </c>
      <c r="B691" t="s">
        <v>1264</v>
      </c>
    </row>
    <row r="692" spans="1:2" x14ac:dyDescent="0.35">
      <c r="A692" s="2" t="s">
        <v>802</v>
      </c>
      <c r="B692" t="s">
        <v>1265</v>
      </c>
    </row>
    <row r="693" spans="1:2" x14ac:dyDescent="0.35">
      <c r="A693" s="2" t="s">
        <v>290</v>
      </c>
      <c r="B693" t="s">
        <v>1266</v>
      </c>
    </row>
    <row r="694" spans="1:2" x14ac:dyDescent="0.35">
      <c r="A694" s="2" t="s">
        <v>803</v>
      </c>
      <c r="B694" t="s">
        <v>1267</v>
      </c>
    </row>
    <row r="695" spans="1:2" x14ac:dyDescent="0.35">
      <c r="A695" s="2" t="s">
        <v>804</v>
      </c>
      <c r="B695" t="s">
        <v>1268</v>
      </c>
    </row>
    <row r="696" spans="1:2" x14ac:dyDescent="0.35">
      <c r="A696" s="2" t="s">
        <v>805</v>
      </c>
      <c r="B696" t="s">
        <v>1269</v>
      </c>
    </row>
    <row r="697" spans="1:2" x14ac:dyDescent="0.35">
      <c r="A697" s="2" t="s">
        <v>806</v>
      </c>
      <c r="B697" t="s">
        <v>1269</v>
      </c>
    </row>
    <row r="698" spans="1:2" x14ac:dyDescent="0.35">
      <c r="A698" s="2" t="s">
        <v>807</v>
      </c>
      <c r="B698" t="s">
        <v>1270</v>
      </c>
    </row>
    <row r="699" spans="1:2" x14ac:dyDescent="0.35">
      <c r="A699" s="2" t="s">
        <v>808</v>
      </c>
      <c r="B699" t="s">
        <v>1270</v>
      </c>
    </row>
    <row r="700" spans="1:2" x14ac:dyDescent="0.35">
      <c r="A700" s="2" t="s">
        <v>809</v>
      </c>
      <c r="B700" t="s">
        <v>1271</v>
      </c>
    </row>
    <row r="701" spans="1:2" x14ac:dyDescent="0.35">
      <c r="A701" s="2" t="s">
        <v>291</v>
      </c>
      <c r="B701" t="s">
        <v>1272</v>
      </c>
    </row>
    <row r="702" spans="1:2" x14ac:dyDescent="0.35">
      <c r="A702" s="2" t="s">
        <v>292</v>
      </c>
      <c r="B702" t="s">
        <v>1273</v>
      </c>
    </row>
    <row r="703" spans="1:2" x14ac:dyDescent="0.35">
      <c r="A703" s="2" t="s">
        <v>293</v>
      </c>
      <c r="B703" t="s">
        <v>1398</v>
      </c>
    </row>
    <row r="704" spans="1:2" x14ac:dyDescent="0.35">
      <c r="A704" s="2" t="s">
        <v>294</v>
      </c>
      <c r="B704" t="s">
        <v>1274</v>
      </c>
    </row>
    <row r="705" spans="1:2" x14ac:dyDescent="0.35">
      <c r="A705" s="2" t="s">
        <v>295</v>
      </c>
      <c r="B705" t="s">
        <v>1275</v>
      </c>
    </row>
    <row r="706" spans="1:2" x14ac:dyDescent="0.35">
      <c r="A706" s="2" t="s">
        <v>950</v>
      </c>
      <c r="B706" t="s">
        <v>1276</v>
      </c>
    </row>
    <row r="707" spans="1:2" x14ac:dyDescent="0.35">
      <c r="A707" s="2" t="s">
        <v>810</v>
      </c>
      <c r="B707" t="s">
        <v>1399</v>
      </c>
    </row>
    <row r="708" spans="1:2" x14ac:dyDescent="0.35">
      <c r="A708" s="2" t="s">
        <v>296</v>
      </c>
      <c r="B708" t="s">
        <v>1277</v>
      </c>
    </row>
    <row r="709" spans="1:2" x14ac:dyDescent="0.35">
      <c r="A709" s="2" t="s">
        <v>297</v>
      </c>
      <c r="B709" t="s">
        <v>1277</v>
      </c>
    </row>
    <row r="710" spans="1:2" x14ac:dyDescent="0.35">
      <c r="A710" s="2" t="s">
        <v>811</v>
      </c>
      <c r="B710" t="s">
        <v>1278</v>
      </c>
    </row>
    <row r="711" spans="1:2" x14ac:dyDescent="0.35">
      <c r="A711" s="2" t="s">
        <v>298</v>
      </c>
      <c r="B711" t="s">
        <v>1279</v>
      </c>
    </row>
    <row r="712" spans="1:2" x14ac:dyDescent="0.35">
      <c r="A712" s="2" t="s">
        <v>812</v>
      </c>
      <c r="B712" t="s">
        <v>1280</v>
      </c>
    </row>
    <row r="713" spans="1:2" x14ac:dyDescent="0.35">
      <c r="A713" s="2" t="s">
        <v>813</v>
      </c>
      <c r="B713" t="s">
        <v>1281</v>
      </c>
    </row>
    <row r="714" spans="1:2" x14ac:dyDescent="0.35">
      <c r="A714" s="2" t="s">
        <v>814</v>
      </c>
      <c r="B714" t="s">
        <v>1281</v>
      </c>
    </row>
    <row r="715" spans="1:2" x14ac:dyDescent="0.35">
      <c r="A715" s="2" t="s">
        <v>815</v>
      </c>
      <c r="B715" t="s">
        <v>1281</v>
      </c>
    </row>
    <row r="716" spans="1:2" x14ac:dyDescent="0.35">
      <c r="A716" s="2" t="s">
        <v>816</v>
      </c>
      <c r="B716" t="s">
        <v>1282</v>
      </c>
    </row>
    <row r="717" spans="1:2" x14ac:dyDescent="0.35">
      <c r="A717" s="2" t="s">
        <v>299</v>
      </c>
      <c r="B717" t="s">
        <v>1283</v>
      </c>
    </row>
    <row r="718" spans="1:2" x14ac:dyDescent="0.35">
      <c r="A718" s="2" t="s">
        <v>300</v>
      </c>
      <c r="B718" t="s">
        <v>1283</v>
      </c>
    </row>
    <row r="719" spans="1:2" x14ac:dyDescent="0.35">
      <c r="A719" s="2" t="s">
        <v>301</v>
      </c>
      <c r="B719" t="s">
        <v>1283</v>
      </c>
    </row>
    <row r="720" spans="1:2" x14ac:dyDescent="0.35">
      <c r="A720" s="2" t="s">
        <v>302</v>
      </c>
      <c r="B720" t="s">
        <v>1283</v>
      </c>
    </row>
    <row r="721" spans="1:2" x14ac:dyDescent="0.35">
      <c r="A721" s="2" t="s">
        <v>303</v>
      </c>
      <c r="B721" t="s">
        <v>1284</v>
      </c>
    </row>
    <row r="722" spans="1:2" x14ac:dyDescent="0.35">
      <c r="A722" s="2" t="s">
        <v>304</v>
      </c>
      <c r="B722" t="s">
        <v>817</v>
      </c>
    </row>
    <row r="723" spans="1:2" x14ac:dyDescent="0.35">
      <c r="A723" s="2" t="s">
        <v>817</v>
      </c>
      <c r="B723" t="s">
        <v>817</v>
      </c>
    </row>
    <row r="724" spans="1:2" x14ac:dyDescent="0.35">
      <c r="A724" s="2" t="s">
        <v>305</v>
      </c>
      <c r="B724" t="s">
        <v>817</v>
      </c>
    </row>
    <row r="725" spans="1:2" x14ac:dyDescent="0.35">
      <c r="A725" s="2" t="s">
        <v>306</v>
      </c>
      <c r="B725" t="s">
        <v>1285</v>
      </c>
    </row>
    <row r="726" spans="1:2" x14ac:dyDescent="0.35">
      <c r="A726" s="2" t="s">
        <v>818</v>
      </c>
      <c r="B726" t="s">
        <v>1286</v>
      </c>
    </row>
    <row r="727" spans="1:2" x14ac:dyDescent="0.35">
      <c r="A727" s="2" t="s">
        <v>307</v>
      </c>
      <c r="B727" t="s">
        <v>1287</v>
      </c>
    </row>
    <row r="728" spans="1:2" x14ac:dyDescent="0.35">
      <c r="A728" s="2" t="s">
        <v>308</v>
      </c>
      <c r="B728" t="s">
        <v>1400</v>
      </c>
    </row>
    <row r="729" spans="1:2" x14ac:dyDescent="0.35">
      <c r="A729" s="2" t="s">
        <v>309</v>
      </c>
      <c r="B729" t="s">
        <v>1401</v>
      </c>
    </row>
    <row r="730" spans="1:2" x14ac:dyDescent="0.35">
      <c r="A730" s="2" t="s">
        <v>819</v>
      </c>
      <c r="B730" t="s">
        <v>1288</v>
      </c>
    </row>
    <row r="731" spans="1:2" x14ac:dyDescent="0.35">
      <c r="A731" s="2" t="s">
        <v>820</v>
      </c>
      <c r="B731" t="s">
        <v>1289</v>
      </c>
    </row>
    <row r="732" spans="1:2" x14ac:dyDescent="0.35">
      <c r="A732" s="2" t="s">
        <v>821</v>
      </c>
      <c r="B732" t="s">
        <v>821</v>
      </c>
    </row>
    <row r="733" spans="1:2" x14ac:dyDescent="0.35">
      <c r="A733" s="2" t="s">
        <v>310</v>
      </c>
      <c r="B733" t="s">
        <v>1290</v>
      </c>
    </row>
    <row r="734" spans="1:2" x14ac:dyDescent="0.35">
      <c r="A734" s="2" t="s">
        <v>822</v>
      </c>
      <c r="B734" t="s">
        <v>822</v>
      </c>
    </row>
    <row r="735" spans="1:2" x14ac:dyDescent="0.35">
      <c r="A735" s="2" t="s">
        <v>823</v>
      </c>
      <c r="B735" t="s">
        <v>1291</v>
      </c>
    </row>
    <row r="736" spans="1:2" x14ac:dyDescent="0.35">
      <c r="A736" s="2" t="s">
        <v>311</v>
      </c>
      <c r="B736" t="s">
        <v>1292</v>
      </c>
    </row>
    <row r="737" spans="1:2" x14ac:dyDescent="0.35">
      <c r="A737" s="2" t="s">
        <v>824</v>
      </c>
      <c r="B737" t="s">
        <v>1293</v>
      </c>
    </row>
    <row r="738" spans="1:2" x14ac:dyDescent="0.35">
      <c r="A738" s="2" t="s">
        <v>312</v>
      </c>
      <c r="B738" t="s">
        <v>1293</v>
      </c>
    </row>
    <row r="739" spans="1:2" x14ac:dyDescent="0.35">
      <c r="A739" s="2" t="s">
        <v>313</v>
      </c>
      <c r="B739" t="s">
        <v>1293</v>
      </c>
    </row>
    <row r="740" spans="1:2" x14ac:dyDescent="0.35">
      <c r="A740" s="2" t="s">
        <v>825</v>
      </c>
      <c r="B740" t="s">
        <v>1402</v>
      </c>
    </row>
    <row r="741" spans="1:2" x14ac:dyDescent="0.35">
      <c r="A741" s="2" t="s">
        <v>826</v>
      </c>
      <c r="B741" t="s">
        <v>1294</v>
      </c>
    </row>
    <row r="742" spans="1:2" x14ac:dyDescent="0.35">
      <c r="A742" s="2" t="s">
        <v>827</v>
      </c>
      <c r="B742" t="s">
        <v>1295</v>
      </c>
    </row>
    <row r="743" spans="1:2" x14ac:dyDescent="0.35">
      <c r="A743" s="2" t="s">
        <v>828</v>
      </c>
      <c r="B743" t="s">
        <v>1296</v>
      </c>
    </row>
    <row r="744" spans="1:2" x14ac:dyDescent="0.35">
      <c r="A744" s="2" t="s">
        <v>829</v>
      </c>
      <c r="B744" t="s">
        <v>1297</v>
      </c>
    </row>
    <row r="745" spans="1:2" x14ac:dyDescent="0.35">
      <c r="A745" s="2" t="s">
        <v>314</v>
      </c>
      <c r="B745" t="s">
        <v>1403</v>
      </c>
    </row>
    <row r="746" spans="1:2" x14ac:dyDescent="0.35">
      <c r="A746" s="2" t="s">
        <v>315</v>
      </c>
      <c r="B746" t="s">
        <v>1404</v>
      </c>
    </row>
    <row r="747" spans="1:2" x14ac:dyDescent="0.35">
      <c r="A747" s="2" t="s">
        <v>830</v>
      </c>
      <c r="B747" t="s">
        <v>1298</v>
      </c>
    </row>
    <row r="748" spans="1:2" x14ac:dyDescent="0.35">
      <c r="A748" s="2" t="s">
        <v>831</v>
      </c>
      <c r="B748" t="s">
        <v>1299</v>
      </c>
    </row>
    <row r="749" spans="1:2" x14ac:dyDescent="0.35">
      <c r="A749" s="2" t="s">
        <v>316</v>
      </c>
      <c r="B749" t="s">
        <v>1300</v>
      </c>
    </row>
    <row r="750" spans="1:2" x14ac:dyDescent="0.35">
      <c r="A750" s="2" t="s">
        <v>832</v>
      </c>
      <c r="B750" t="s">
        <v>832</v>
      </c>
    </row>
    <row r="751" spans="1:2" x14ac:dyDescent="0.35">
      <c r="A751" s="2" t="s">
        <v>833</v>
      </c>
      <c r="B751" t="s">
        <v>833</v>
      </c>
    </row>
    <row r="752" spans="1:2" x14ac:dyDescent="0.35">
      <c r="A752" s="2" t="s">
        <v>317</v>
      </c>
      <c r="B752" t="s">
        <v>1301</v>
      </c>
    </row>
    <row r="753" spans="1:2" x14ac:dyDescent="0.35">
      <c r="A753" s="2" t="s">
        <v>834</v>
      </c>
      <c r="B753" t="s">
        <v>1302</v>
      </c>
    </row>
    <row r="754" spans="1:2" x14ac:dyDescent="0.35">
      <c r="A754" s="2" t="s">
        <v>318</v>
      </c>
      <c r="B754" t="s">
        <v>1405</v>
      </c>
    </row>
    <row r="755" spans="1:2" x14ac:dyDescent="0.35">
      <c r="A755" s="2" t="s">
        <v>319</v>
      </c>
      <c r="B755" t="s">
        <v>1406</v>
      </c>
    </row>
    <row r="756" spans="1:2" x14ac:dyDescent="0.35">
      <c r="A756" s="2" t="s">
        <v>320</v>
      </c>
      <c r="B756" t="s">
        <v>1303</v>
      </c>
    </row>
    <row r="757" spans="1:2" x14ac:dyDescent="0.35">
      <c r="A757" s="2" t="s">
        <v>321</v>
      </c>
      <c r="B757" t="s">
        <v>1304</v>
      </c>
    </row>
    <row r="758" spans="1:2" x14ac:dyDescent="0.35">
      <c r="A758" s="2" t="s">
        <v>322</v>
      </c>
      <c r="B758" t="s">
        <v>1305</v>
      </c>
    </row>
    <row r="759" spans="1:2" x14ac:dyDescent="0.35">
      <c r="A759" s="2" t="s">
        <v>835</v>
      </c>
      <c r="B759" t="s">
        <v>1306</v>
      </c>
    </row>
    <row r="760" spans="1:2" x14ac:dyDescent="0.35">
      <c r="A760" s="2" t="s">
        <v>836</v>
      </c>
      <c r="B760" t="s">
        <v>1307</v>
      </c>
    </row>
    <row r="761" spans="1:2" x14ac:dyDescent="0.35">
      <c r="A761" s="2" t="s">
        <v>323</v>
      </c>
      <c r="B761" t="s">
        <v>837</v>
      </c>
    </row>
    <row r="762" spans="1:2" x14ac:dyDescent="0.35">
      <c r="A762" s="2" t="s">
        <v>837</v>
      </c>
      <c r="B762" t="s">
        <v>837</v>
      </c>
    </row>
    <row r="763" spans="1:2" x14ac:dyDescent="0.35">
      <c r="A763" s="2" t="s">
        <v>837</v>
      </c>
      <c r="B763" t="s">
        <v>837</v>
      </c>
    </row>
    <row r="764" spans="1:2" x14ac:dyDescent="0.35">
      <c r="A764" s="2" t="s">
        <v>838</v>
      </c>
      <c r="B764" t="s">
        <v>1308</v>
      </c>
    </row>
    <row r="765" spans="1:2" x14ac:dyDescent="0.35">
      <c r="A765" s="2" t="s">
        <v>839</v>
      </c>
      <c r="B765" t="s">
        <v>1309</v>
      </c>
    </row>
    <row r="766" spans="1:2" x14ac:dyDescent="0.35">
      <c r="A766" s="2" t="s">
        <v>840</v>
      </c>
      <c r="B766" t="s">
        <v>1310</v>
      </c>
    </row>
    <row r="767" spans="1:2" x14ac:dyDescent="0.35">
      <c r="A767" s="2" t="s">
        <v>841</v>
      </c>
      <c r="B767" t="s">
        <v>1311</v>
      </c>
    </row>
    <row r="768" spans="1:2" x14ac:dyDescent="0.35">
      <c r="A768" s="2" t="s">
        <v>842</v>
      </c>
      <c r="B768" t="s">
        <v>1311</v>
      </c>
    </row>
    <row r="769" spans="1:2" x14ac:dyDescent="0.35">
      <c r="A769" s="2" t="s">
        <v>843</v>
      </c>
      <c r="B769" t="s">
        <v>1311</v>
      </c>
    </row>
    <row r="770" spans="1:2" x14ac:dyDescent="0.35">
      <c r="A770" s="2" t="s">
        <v>844</v>
      </c>
      <c r="B770" t="s">
        <v>1312</v>
      </c>
    </row>
    <row r="771" spans="1:2" x14ac:dyDescent="0.35">
      <c r="A771" s="4" t="s">
        <v>951</v>
      </c>
      <c r="B771" t="s">
        <v>1313</v>
      </c>
    </row>
    <row r="772" spans="1:2" x14ac:dyDescent="0.35">
      <c r="A772" s="2" t="s">
        <v>845</v>
      </c>
      <c r="B772" t="s">
        <v>845</v>
      </c>
    </row>
    <row r="773" spans="1:2" x14ac:dyDescent="0.35">
      <c r="A773" s="2" t="s">
        <v>846</v>
      </c>
      <c r="B773" t="s">
        <v>1314</v>
      </c>
    </row>
    <row r="774" spans="1:2" x14ac:dyDescent="0.35">
      <c r="A774" s="2" t="s">
        <v>847</v>
      </c>
      <c r="B774" t="s">
        <v>847</v>
      </c>
    </row>
    <row r="775" spans="1:2" x14ac:dyDescent="0.35">
      <c r="A775" s="2" t="s">
        <v>847</v>
      </c>
      <c r="B775" t="s">
        <v>847</v>
      </c>
    </row>
    <row r="776" spans="1:2" x14ac:dyDescent="0.35">
      <c r="A776" s="2" t="s">
        <v>847</v>
      </c>
      <c r="B776" t="s">
        <v>847</v>
      </c>
    </row>
    <row r="777" spans="1:2" x14ac:dyDescent="0.35">
      <c r="A777" s="2" t="s">
        <v>848</v>
      </c>
      <c r="B777" t="s">
        <v>1315</v>
      </c>
    </row>
    <row r="778" spans="1:2" x14ac:dyDescent="0.35">
      <c r="A778" s="2" t="s">
        <v>324</v>
      </c>
      <c r="B778" t="s">
        <v>1316</v>
      </c>
    </row>
    <row r="779" spans="1:2" x14ac:dyDescent="0.35">
      <c r="A779" s="2" t="s">
        <v>849</v>
      </c>
      <c r="B779" t="s">
        <v>1317</v>
      </c>
    </row>
    <row r="780" spans="1:2" x14ac:dyDescent="0.35">
      <c r="A780" s="2" t="s">
        <v>850</v>
      </c>
      <c r="B780" t="s">
        <v>1317</v>
      </c>
    </row>
    <row r="781" spans="1:2" x14ac:dyDescent="0.35">
      <c r="A781" s="2" t="s">
        <v>851</v>
      </c>
      <c r="B781" t="s">
        <v>1317</v>
      </c>
    </row>
    <row r="782" spans="1:2" x14ac:dyDescent="0.35">
      <c r="A782" s="2" t="s">
        <v>852</v>
      </c>
      <c r="B782" t="s">
        <v>1318</v>
      </c>
    </row>
    <row r="783" spans="1:2" x14ac:dyDescent="0.35">
      <c r="A783" s="2" t="s">
        <v>325</v>
      </c>
      <c r="B783" t="s">
        <v>1319</v>
      </c>
    </row>
    <row r="784" spans="1:2" x14ac:dyDescent="0.35">
      <c r="A784" s="2" t="s">
        <v>326</v>
      </c>
      <c r="B784" t="s">
        <v>1319</v>
      </c>
    </row>
    <row r="785" spans="1:2" x14ac:dyDescent="0.35">
      <c r="A785" s="2" t="s">
        <v>327</v>
      </c>
      <c r="B785" t="s">
        <v>1319</v>
      </c>
    </row>
    <row r="786" spans="1:2" x14ac:dyDescent="0.35">
      <c r="A786" s="2" t="s">
        <v>328</v>
      </c>
      <c r="B786" t="s">
        <v>1319</v>
      </c>
    </row>
    <row r="787" spans="1:2" x14ac:dyDescent="0.35">
      <c r="A787" s="2" t="s">
        <v>853</v>
      </c>
      <c r="B787" t="s">
        <v>853</v>
      </c>
    </row>
    <row r="788" spans="1:2" x14ac:dyDescent="0.35">
      <c r="A788" s="2" t="s">
        <v>329</v>
      </c>
      <c r="B788" t="s">
        <v>853</v>
      </c>
    </row>
    <row r="789" spans="1:2" x14ac:dyDescent="0.35">
      <c r="A789" s="2" t="s">
        <v>330</v>
      </c>
      <c r="B789" t="s">
        <v>853</v>
      </c>
    </row>
    <row r="790" spans="1:2" x14ac:dyDescent="0.35">
      <c r="A790" s="2" t="s">
        <v>854</v>
      </c>
      <c r="B790" t="s">
        <v>1320</v>
      </c>
    </row>
    <row r="791" spans="1:2" x14ac:dyDescent="0.35">
      <c r="A791" s="2" t="s">
        <v>855</v>
      </c>
      <c r="B791" t="s">
        <v>855</v>
      </c>
    </row>
    <row r="792" spans="1:2" x14ac:dyDescent="0.35">
      <c r="A792" s="2" t="s">
        <v>855</v>
      </c>
      <c r="B792" t="s">
        <v>855</v>
      </c>
    </row>
    <row r="793" spans="1:2" x14ac:dyDescent="0.35">
      <c r="A793" s="2" t="s">
        <v>856</v>
      </c>
      <c r="B793" t="s">
        <v>856</v>
      </c>
    </row>
    <row r="794" spans="1:2" x14ac:dyDescent="0.35">
      <c r="A794" s="2" t="s">
        <v>857</v>
      </c>
      <c r="B794" t="s">
        <v>1321</v>
      </c>
    </row>
    <row r="795" spans="1:2" x14ac:dyDescent="0.35">
      <c r="A795" s="2" t="s">
        <v>858</v>
      </c>
      <c r="B795" t="s">
        <v>858</v>
      </c>
    </row>
    <row r="796" spans="1:2" x14ac:dyDescent="0.35">
      <c r="A796" s="2" t="s">
        <v>858</v>
      </c>
      <c r="B796" t="s">
        <v>858</v>
      </c>
    </row>
    <row r="797" spans="1:2" x14ac:dyDescent="0.35">
      <c r="A797" s="2" t="s">
        <v>858</v>
      </c>
      <c r="B797" t="s">
        <v>858</v>
      </c>
    </row>
    <row r="798" spans="1:2" x14ac:dyDescent="0.35">
      <c r="A798" s="2" t="s">
        <v>859</v>
      </c>
      <c r="B798" t="s">
        <v>858</v>
      </c>
    </row>
    <row r="799" spans="1:2" x14ac:dyDescent="0.35">
      <c r="A799" s="2" t="s">
        <v>331</v>
      </c>
      <c r="B799" t="s">
        <v>1322</v>
      </c>
    </row>
    <row r="800" spans="1:2" x14ac:dyDescent="0.35">
      <c r="A800" s="2" t="s">
        <v>860</v>
      </c>
      <c r="B800" t="s">
        <v>1407</v>
      </c>
    </row>
    <row r="801" spans="1:2" x14ac:dyDescent="0.35">
      <c r="A801" s="2" t="s">
        <v>861</v>
      </c>
      <c r="B801" t="s">
        <v>1323</v>
      </c>
    </row>
    <row r="802" spans="1:2" x14ac:dyDescent="0.35">
      <c r="A802" s="2" t="s">
        <v>862</v>
      </c>
      <c r="B802" t="s">
        <v>1323</v>
      </c>
    </row>
    <row r="803" spans="1:2" x14ac:dyDescent="0.35">
      <c r="A803" s="2" t="s">
        <v>863</v>
      </c>
      <c r="B803" t="s">
        <v>1323</v>
      </c>
    </row>
    <row r="804" spans="1:2" x14ac:dyDescent="0.35">
      <c r="A804" s="2" t="s">
        <v>332</v>
      </c>
      <c r="B804" t="s">
        <v>1323</v>
      </c>
    </row>
    <row r="805" spans="1:2" x14ac:dyDescent="0.35">
      <c r="A805" s="2" t="s">
        <v>864</v>
      </c>
      <c r="B805" t="s">
        <v>864</v>
      </c>
    </row>
    <row r="806" spans="1:2" x14ac:dyDescent="0.35">
      <c r="A806" s="2" t="s">
        <v>864</v>
      </c>
      <c r="B806" t="s">
        <v>864</v>
      </c>
    </row>
    <row r="807" spans="1:2" x14ac:dyDescent="0.35">
      <c r="A807" s="2" t="s">
        <v>865</v>
      </c>
      <c r="B807" t="s">
        <v>864</v>
      </c>
    </row>
    <row r="808" spans="1:2" x14ac:dyDescent="0.35">
      <c r="A808" s="2" t="s">
        <v>333</v>
      </c>
      <c r="B808" t="s">
        <v>864</v>
      </c>
    </row>
    <row r="809" spans="1:2" x14ac:dyDescent="0.35">
      <c r="A809" s="2" t="s">
        <v>866</v>
      </c>
      <c r="B809" t="s">
        <v>866</v>
      </c>
    </row>
    <row r="810" spans="1:2" x14ac:dyDescent="0.35">
      <c r="A810" s="2" t="s">
        <v>867</v>
      </c>
      <c r="B810" t="s">
        <v>866</v>
      </c>
    </row>
    <row r="811" spans="1:2" x14ac:dyDescent="0.35">
      <c r="A811" s="2" t="s">
        <v>868</v>
      </c>
      <c r="B811" t="s">
        <v>866</v>
      </c>
    </row>
    <row r="812" spans="1:2" x14ac:dyDescent="0.35">
      <c r="A812" s="2" t="s">
        <v>334</v>
      </c>
      <c r="B812" t="s">
        <v>866</v>
      </c>
    </row>
    <row r="813" spans="1:2" x14ac:dyDescent="0.35">
      <c r="A813" s="2" t="s">
        <v>869</v>
      </c>
      <c r="B813" t="s">
        <v>1324</v>
      </c>
    </row>
    <row r="814" spans="1:2" x14ac:dyDescent="0.35">
      <c r="A814" s="2" t="s">
        <v>870</v>
      </c>
      <c r="B814" t="s">
        <v>1324</v>
      </c>
    </row>
    <row r="815" spans="1:2" x14ac:dyDescent="0.35">
      <c r="A815" s="2" t="s">
        <v>871</v>
      </c>
      <c r="B815" t="s">
        <v>1324</v>
      </c>
    </row>
    <row r="816" spans="1:2" x14ac:dyDescent="0.35">
      <c r="A816" s="2" t="s">
        <v>335</v>
      </c>
      <c r="B816" t="s">
        <v>1324</v>
      </c>
    </row>
    <row r="817" spans="1:2" x14ac:dyDescent="0.35">
      <c r="A817" s="2" t="s">
        <v>872</v>
      </c>
      <c r="B817" t="s">
        <v>1325</v>
      </c>
    </row>
    <row r="818" spans="1:2" x14ac:dyDescent="0.35">
      <c r="A818" s="2" t="s">
        <v>873</v>
      </c>
      <c r="B818" t="s">
        <v>1325</v>
      </c>
    </row>
    <row r="819" spans="1:2" x14ac:dyDescent="0.35">
      <c r="A819" s="2" t="s">
        <v>874</v>
      </c>
      <c r="B819" t="s">
        <v>1325</v>
      </c>
    </row>
    <row r="820" spans="1:2" x14ac:dyDescent="0.35">
      <c r="A820" s="2" t="s">
        <v>875</v>
      </c>
      <c r="B820" t="s">
        <v>1326</v>
      </c>
    </row>
    <row r="821" spans="1:2" x14ac:dyDescent="0.35">
      <c r="A821" s="2" t="s">
        <v>336</v>
      </c>
      <c r="B821" t="s">
        <v>1327</v>
      </c>
    </row>
    <row r="822" spans="1:2" x14ac:dyDescent="0.35">
      <c r="A822" s="2" t="s">
        <v>337</v>
      </c>
      <c r="B822" t="s">
        <v>1328</v>
      </c>
    </row>
    <row r="823" spans="1:2" x14ac:dyDescent="0.35">
      <c r="A823" s="2" t="s">
        <v>338</v>
      </c>
      <c r="B823" t="s">
        <v>1328</v>
      </c>
    </row>
    <row r="824" spans="1:2" x14ac:dyDescent="0.35">
      <c r="A824" s="2" t="s">
        <v>876</v>
      </c>
      <c r="B824" t="s">
        <v>1329</v>
      </c>
    </row>
    <row r="825" spans="1:2" x14ac:dyDescent="0.35">
      <c r="A825" s="2" t="s">
        <v>877</v>
      </c>
      <c r="B825" t="s">
        <v>877</v>
      </c>
    </row>
    <row r="826" spans="1:2" x14ac:dyDescent="0.35">
      <c r="A826" s="2" t="s">
        <v>339</v>
      </c>
      <c r="B826" t="s">
        <v>1330</v>
      </c>
    </row>
    <row r="827" spans="1:2" x14ac:dyDescent="0.35">
      <c r="A827" s="2" t="s">
        <v>878</v>
      </c>
      <c r="B827" t="s">
        <v>878</v>
      </c>
    </row>
    <row r="828" spans="1:2" x14ac:dyDescent="0.35">
      <c r="A828" s="2" t="s">
        <v>878</v>
      </c>
      <c r="B828" t="s">
        <v>878</v>
      </c>
    </row>
    <row r="829" spans="1:2" x14ac:dyDescent="0.35">
      <c r="A829" s="2" t="s">
        <v>878</v>
      </c>
      <c r="B829" t="s">
        <v>878</v>
      </c>
    </row>
    <row r="830" spans="1:2" x14ac:dyDescent="0.35">
      <c r="A830" s="2" t="s">
        <v>879</v>
      </c>
      <c r="B830" t="s">
        <v>879</v>
      </c>
    </row>
    <row r="831" spans="1:2" x14ac:dyDescent="0.35">
      <c r="A831" s="2" t="s">
        <v>879</v>
      </c>
      <c r="B831" t="s">
        <v>879</v>
      </c>
    </row>
    <row r="832" spans="1:2" x14ac:dyDescent="0.35">
      <c r="A832" s="2" t="s">
        <v>879</v>
      </c>
      <c r="B832" t="s">
        <v>879</v>
      </c>
    </row>
    <row r="833" spans="1:2" x14ac:dyDescent="0.35">
      <c r="A833" s="2" t="s">
        <v>880</v>
      </c>
      <c r="B833" t="s">
        <v>880</v>
      </c>
    </row>
    <row r="834" spans="1:2" x14ac:dyDescent="0.35">
      <c r="A834" s="2" t="s">
        <v>880</v>
      </c>
      <c r="B834" t="s">
        <v>880</v>
      </c>
    </row>
    <row r="835" spans="1:2" x14ac:dyDescent="0.35">
      <c r="A835" s="2" t="s">
        <v>880</v>
      </c>
      <c r="B835" t="s">
        <v>880</v>
      </c>
    </row>
    <row r="836" spans="1:2" x14ac:dyDescent="0.35">
      <c r="A836" s="2" t="s">
        <v>881</v>
      </c>
      <c r="B836" t="s">
        <v>881</v>
      </c>
    </row>
    <row r="837" spans="1:2" x14ac:dyDescent="0.35">
      <c r="A837" s="2" t="s">
        <v>340</v>
      </c>
      <c r="B837" t="s">
        <v>1331</v>
      </c>
    </row>
    <row r="838" spans="1:2" x14ac:dyDescent="0.35">
      <c r="A838" s="2" t="s">
        <v>341</v>
      </c>
      <c r="B838" t="s">
        <v>1408</v>
      </c>
    </row>
    <row r="839" spans="1:2" x14ac:dyDescent="0.35">
      <c r="A839" s="2" t="s">
        <v>342</v>
      </c>
      <c r="B839" t="s">
        <v>1332</v>
      </c>
    </row>
    <row r="840" spans="1:2" x14ac:dyDescent="0.35">
      <c r="A840" s="2" t="s">
        <v>882</v>
      </c>
      <c r="B840" t="s">
        <v>1333</v>
      </c>
    </row>
    <row r="841" spans="1:2" x14ac:dyDescent="0.35">
      <c r="A841" s="2" t="s">
        <v>883</v>
      </c>
      <c r="B841" t="s">
        <v>1409</v>
      </c>
    </row>
    <row r="842" spans="1:2" x14ac:dyDescent="0.35">
      <c r="A842" s="2" t="s">
        <v>884</v>
      </c>
      <c r="B842" t="s">
        <v>884</v>
      </c>
    </row>
    <row r="843" spans="1:2" x14ac:dyDescent="0.35">
      <c r="A843" s="2" t="s">
        <v>885</v>
      </c>
      <c r="B843" t="s">
        <v>1334</v>
      </c>
    </row>
    <row r="844" spans="1:2" x14ac:dyDescent="0.35">
      <c r="A844" s="2" t="s">
        <v>343</v>
      </c>
      <c r="B844" t="s">
        <v>1335</v>
      </c>
    </row>
    <row r="845" spans="1:2" x14ac:dyDescent="0.35">
      <c r="A845" s="2" t="s">
        <v>886</v>
      </c>
      <c r="B845" t="s">
        <v>886</v>
      </c>
    </row>
    <row r="846" spans="1:2" x14ac:dyDescent="0.35">
      <c r="A846" s="2" t="s">
        <v>886</v>
      </c>
      <c r="B846" t="s">
        <v>886</v>
      </c>
    </row>
    <row r="847" spans="1:2" x14ac:dyDescent="0.35">
      <c r="A847" s="2" t="s">
        <v>887</v>
      </c>
      <c r="B847" t="s">
        <v>1336</v>
      </c>
    </row>
    <row r="848" spans="1:2" x14ac:dyDescent="0.35">
      <c r="A848" s="2" t="s">
        <v>888</v>
      </c>
      <c r="B848" t="s">
        <v>1337</v>
      </c>
    </row>
    <row r="849" spans="1:2" x14ac:dyDescent="0.35">
      <c r="A849" s="2" t="s">
        <v>889</v>
      </c>
      <c r="B849" t="s">
        <v>889</v>
      </c>
    </row>
    <row r="850" spans="1:2" x14ac:dyDescent="0.35">
      <c r="A850" s="2" t="s">
        <v>890</v>
      </c>
      <c r="B850" t="s">
        <v>1338</v>
      </c>
    </row>
    <row r="851" spans="1:2" x14ac:dyDescent="0.35">
      <c r="A851" s="2" t="s">
        <v>891</v>
      </c>
      <c r="B851" t="s">
        <v>1339</v>
      </c>
    </row>
    <row r="852" spans="1:2" x14ac:dyDescent="0.35">
      <c r="A852" s="2" t="s">
        <v>344</v>
      </c>
      <c r="B852" t="s">
        <v>1340</v>
      </c>
    </row>
    <row r="853" spans="1:2" x14ac:dyDescent="0.35">
      <c r="A853" s="2" t="s">
        <v>345</v>
      </c>
      <c r="B853" t="s">
        <v>1341</v>
      </c>
    </row>
    <row r="854" spans="1:2" x14ac:dyDescent="0.35">
      <c r="A854" s="2" t="s">
        <v>892</v>
      </c>
      <c r="B854" t="s">
        <v>892</v>
      </c>
    </row>
    <row r="855" spans="1:2" x14ac:dyDescent="0.35">
      <c r="A855" s="2" t="s">
        <v>893</v>
      </c>
      <c r="B855" t="s">
        <v>893</v>
      </c>
    </row>
    <row r="856" spans="1:2" x14ac:dyDescent="0.35">
      <c r="A856" s="2" t="s">
        <v>894</v>
      </c>
      <c r="B856" t="s">
        <v>894</v>
      </c>
    </row>
    <row r="857" spans="1:2" x14ac:dyDescent="0.35">
      <c r="A857" s="2" t="s">
        <v>895</v>
      </c>
      <c r="B857" t="s">
        <v>895</v>
      </c>
    </row>
    <row r="858" spans="1:2" x14ac:dyDescent="0.35">
      <c r="A858" s="2" t="s">
        <v>896</v>
      </c>
      <c r="B858" t="s">
        <v>896</v>
      </c>
    </row>
    <row r="859" spans="1:2" x14ac:dyDescent="0.35">
      <c r="A859" s="2" t="s">
        <v>896</v>
      </c>
      <c r="B859" t="s">
        <v>896</v>
      </c>
    </row>
    <row r="860" spans="1:2" x14ac:dyDescent="0.35">
      <c r="A860" s="2" t="s">
        <v>896</v>
      </c>
      <c r="B860" t="s">
        <v>896</v>
      </c>
    </row>
    <row r="861" spans="1:2" x14ac:dyDescent="0.35">
      <c r="A861" s="2" t="s">
        <v>897</v>
      </c>
      <c r="B861" t="s">
        <v>897</v>
      </c>
    </row>
    <row r="862" spans="1:2" x14ac:dyDescent="0.35">
      <c r="A862" s="2" t="s">
        <v>898</v>
      </c>
      <c r="B862" t="s">
        <v>898</v>
      </c>
    </row>
    <row r="863" spans="1:2" x14ac:dyDescent="0.35">
      <c r="A863" s="2" t="s">
        <v>346</v>
      </c>
      <c r="B863" t="s">
        <v>1342</v>
      </c>
    </row>
    <row r="864" spans="1:2" x14ac:dyDescent="0.35">
      <c r="A864" s="2" t="s">
        <v>899</v>
      </c>
      <c r="B864" t="s">
        <v>899</v>
      </c>
    </row>
    <row r="865" spans="1:2" x14ac:dyDescent="0.35">
      <c r="A865" s="2" t="s">
        <v>900</v>
      </c>
      <c r="B865" t="s">
        <v>1343</v>
      </c>
    </row>
    <row r="866" spans="1:2" x14ac:dyDescent="0.35">
      <c r="A866" s="2" t="s">
        <v>347</v>
      </c>
      <c r="B866" t="s">
        <v>1344</v>
      </c>
    </row>
    <row r="867" spans="1:2" x14ac:dyDescent="0.35">
      <c r="A867" s="2" t="s">
        <v>348</v>
      </c>
      <c r="B867" t="s">
        <v>1344</v>
      </c>
    </row>
    <row r="868" spans="1:2" x14ac:dyDescent="0.35">
      <c r="A868" s="2" t="s">
        <v>349</v>
      </c>
      <c r="B868" t="s">
        <v>1345</v>
      </c>
    </row>
    <row r="869" spans="1:2" x14ac:dyDescent="0.35">
      <c r="A869" s="2" t="s">
        <v>350</v>
      </c>
      <c r="B869" t="s">
        <v>1346</v>
      </c>
    </row>
    <row r="870" spans="1:2" x14ac:dyDescent="0.35">
      <c r="A870" s="2" t="s">
        <v>901</v>
      </c>
      <c r="B870" t="s">
        <v>901</v>
      </c>
    </row>
    <row r="871" spans="1:2" x14ac:dyDescent="0.35">
      <c r="A871" s="2" t="s">
        <v>902</v>
      </c>
      <c r="B871" t="s">
        <v>902</v>
      </c>
    </row>
    <row r="872" spans="1:2" x14ac:dyDescent="0.35">
      <c r="A872" s="2" t="s">
        <v>903</v>
      </c>
      <c r="B872" t="s">
        <v>903</v>
      </c>
    </row>
    <row r="873" spans="1:2" x14ac:dyDescent="0.35">
      <c r="A873" s="2" t="s">
        <v>351</v>
      </c>
      <c r="B873" t="s">
        <v>1347</v>
      </c>
    </row>
    <row r="874" spans="1:2" x14ac:dyDescent="0.35">
      <c r="A874" s="2" t="s">
        <v>352</v>
      </c>
      <c r="B874" t="s">
        <v>1347</v>
      </c>
    </row>
    <row r="875" spans="1:2" x14ac:dyDescent="0.35">
      <c r="A875" s="2" t="s">
        <v>904</v>
      </c>
      <c r="B875" t="s">
        <v>1348</v>
      </c>
    </row>
    <row r="876" spans="1:2" x14ac:dyDescent="0.35">
      <c r="A876" s="2" t="s">
        <v>353</v>
      </c>
      <c r="B876" t="s">
        <v>1349</v>
      </c>
    </row>
    <row r="877" spans="1:2" x14ac:dyDescent="0.35">
      <c r="A877" s="2" t="s">
        <v>354</v>
      </c>
      <c r="B877" t="s">
        <v>1350</v>
      </c>
    </row>
    <row r="878" spans="1:2" x14ac:dyDescent="0.35">
      <c r="A878" s="2" t="s">
        <v>355</v>
      </c>
      <c r="B878" t="s">
        <v>1351</v>
      </c>
    </row>
    <row r="879" spans="1:2" x14ac:dyDescent="0.35">
      <c r="A879" s="2" t="s">
        <v>905</v>
      </c>
      <c r="B879" t="s">
        <v>1352</v>
      </c>
    </row>
    <row r="880" spans="1:2" x14ac:dyDescent="0.35">
      <c r="A880" s="2" t="s">
        <v>906</v>
      </c>
      <c r="B880" t="s">
        <v>906</v>
      </c>
    </row>
    <row r="881" spans="1:2" x14ac:dyDescent="0.35">
      <c r="A881" s="2" t="s">
        <v>907</v>
      </c>
      <c r="B881" t="s">
        <v>907</v>
      </c>
    </row>
    <row r="882" spans="1:2" x14ac:dyDescent="0.35">
      <c r="A882" s="2" t="s">
        <v>907</v>
      </c>
      <c r="B882" t="s">
        <v>907</v>
      </c>
    </row>
    <row r="883" spans="1:2" x14ac:dyDescent="0.35">
      <c r="A883" s="2" t="s">
        <v>908</v>
      </c>
      <c r="B883" t="s">
        <v>908</v>
      </c>
    </row>
    <row r="884" spans="1:2" x14ac:dyDescent="0.35">
      <c r="A884" s="2" t="s">
        <v>356</v>
      </c>
      <c r="B884" t="s">
        <v>1353</v>
      </c>
    </row>
    <row r="885" spans="1:2" x14ac:dyDescent="0.35">
      <c r="A885" s="2" t="s">
        <v>909</v>
      </c>
      <c r="B885" t="s">
        <v>1354</v>
      </c>
    </row>
    <row r="886" spans="1:2" x14ac:dyDescent="0.35">
      <c r="A886" s="2" t="s">
        <v>910</v>
      </c>
      <c r="B886" t="s">
        <v>1355</v>
      </c>
    </row>
    <row r="887" spans="1:2" x14ac:dyDescent="0.35">
      <c r="A887" s="2" t="s">
        <v>911</v>
      </c>
      <c r="B887" t="s">
        <v>911</v>
      </c>
    </row>
    <row r="888" spans="1:2" x14ac:dyDescent="0.35">
      <c r="A888" s="2" t="s">
        <v>912</v>
      </c>
      <c r="B888" t="s">
        <v>1356</v>
      </c>
    </row>
    <row r="889" spans="1:2" x14ac:dyDescent="0.35">
      <c r="A889" s="2" t="s">
        <v>913</v>
      </c>
      <c r="B889" t="s">
        <v>1356</v>
      </c>
    </row>
    <row r="890" spans="1:2" x14ac:dyDescent="0.35">
      <c r="A890" s="2" t="s">
        <v>914</v>
      </c>
      <c r="B890" t="s">
        <v>914</v>
      </c>
    </row>
    <row r="891" spans="1:2" x14ac:dyDescent="0.35">
      <c r="A891" s="2" t="s">
        <v>915</v>
      </c>
      <c r="B891" t="s">
        <v>915</v>
      </c>
    </row>
    <row r="892" spans="1:2" x14ac:dyDescent="0.35">
      <c r="A892" s="2" t="s">
        <v>916</v>
      </c>
      <c r="B892" t="s">
        <v>916</v>
      </c>
    </row>
    <row r="893" spans="1:2" x14ac:dyDescent="0.35">
      <c r="A893" s="2" t="s">
        <v>916</v>
      </c>
      <c r="B893" t="s">
        <v>916</v>
      </c>
    </row>
    <row r="894" spans="1:2" x14ac:dyDescent="0.35">
      <c r="A894" s="2" t="s">
        <v>917</v>
      </c>
      <c r="B894" t="s">
        <v>917</v>
      </c>
    </row>
    <row r="895" spans="1:2" x14ac:dyDescent="0.35">
      <c r="A895" s="2" t="s">
        <v>918</v>
      </c>
      <c r="B895" t="s">
        <v>918</v>
      </c>
    </row>
    <row r="896" spans="1:2" x14ac:dyDescent="0.35">
      <c r="A896" s="2" t="s">
        <v>919</v>
      </c>
      <c r="B896" t="s">
        <v>919</v>
      </c>
    </row>
    <row r="897" spans="1:2" x14ac:dyDescent="0.35">
      <c r="A897" s="2" t="s">
        <v>920</v>
      </c>
      <c r="B897" t="s">
        <v>920</v>
      </c>
    </row>
    <row r="898" spans="1:2" x14ac:dyDescent="0.35">
      <c r="A898" s="2" t="s">
        <v>921</v>
      </c>
      <c r="B898" t="s">
        <v>921</v>
      </c>
    </row>
    <row r="899" spans="1:2" x14ac:dyDescent="0.35">
      <c r="A899" s="2" t="s">
        <v>357</v>
      </c>
      <c r="B899" t="s">
        <v>1410</v>
      </c>
    </row>
    <row r="900" spans="1:2" x14ac:dyDescent="0.35">
      <c r="A900" s="2" t="s">
        <v>358</v>
      </c>
      <c r="B900" t="s">
        <v>1357</v>
      </c>
    </row>
    <row r="901" spans="1:2" x14ac:dyDescent="0.35">
      <c r="A901" s="2" t="s">
        <v>922</v>
      </c>
      <c r="B901" t="s">
        <v>922</v>
      </c>
    </row>
    <row r="902" spans="1:2" x14ac:dyDescent="0.35">
      <c r="A902" s="2" t="s">
        <v>923</v>
      </c>
      <c r="B902" t="s">
        <v>923</v>
      </c>
    </row>
    <row r="903" spans="1:2" x14ac:dyDescent="0.35">
      <c r="A903" s="2" t="s">
        <v>923</v>
      </c>
      <c r="B903" t="s">
        <v>923</v>
      </c>
    </row>
    <row r="904" spans="1:2" x14ac:dyDescent="0.35">
      <c r="A904" s="2" t="s">
        <v>923</v>
      </c>
      <c r="B904" t="s">
        <v>923</v>
      </c>
    </row>
    <row r="905" spans="1:2" x14ac:dyDescent="0.35">
      <c r="A905" s="2" t="s">
        <v>359</v>
      </c>
      <c r="B905" t="s">
        <v>1358</v>
      </c>
    </row>
    <row r="906" spans="1:2" x14ac:dyDescent="0.35">
      <c r="A906" s="2" t="s">
        <v>360</v>
      </c>
      <c r="B906" t="s">
        <v>1358</v>
      </c>
    </row>
    <row r="907" spans="1:2" x14ac:dyDescent="0.35">
      <c r="A907" s="2" t="s">
        <v>924</v>
      </c>
      <c r="B907" t="s">
        <v>924</v>
      </c>
    </row>
    <row r="908" spans="1:2" x14ac:dyDescent="0.35">
      <c r="A908" s="2" t="s">
        <v>925</v>
      </c>
      <c r="B908" t="s">
        <v>925</v>
      </c>
    </row>
    <row r="909" spans="1:2" x14ac:dyDescent="0.35">
      <c r="A909" s="2" t="s">
        <v>361</v>
      </c>
      <c r="B909" t="s">
        <v>925</v>
      </c>
    </row>
    <row r="910" spans="1:2" x14ac:dyDescent="0.35">
      <c r="A910" s="2" t="s">
        <v>926</v>
      </c>
      <c r="B910" t="s">
        <v>926</v>
      </c>
    </row>
    <row r="911" spans="1:2" x14ac:dyDescent="0.35">
      <c r="A911" s="2" t="s">
        <v>926</v>
      </c>
      <c r="B911" t="s">
        <v>926</v>
      </c>
    </row>
    <row r="912" spans="1:2" x14ac:dyDescent="0.35">
      <c r="A912" s="2" t="s">
        <v>926</v>
      </c>
      <c r="B912" t="s">
        <v>926</v>
      </c>
    </row>
    <row r="913" spans="1:2" x14ac:dyDescent="0.35">
      <c r="A913" s="2" t="s">
        <v>927</v>
      </c>
      <c r="B913" t="s">
        <v>927</v>
      </c>
    </row>
    <row r="914" spans="1:2" x14ac:dyDescent="0.35">
      <c r="A914" s="2" t="s">
        <v>928</v>
      </c>
      <c r="B914" t="s">
        <v>928</v>
      </c>
    </row>
    <row r="915" spans="1:2" x14ac:dyDescent="0.35">
      <c r="A915" s="2" t="s">
        <v>928</v>
      </c>
      <c r="B915" t="s">
        <v>928</v>
      </c>
    </row>
    <row r="916" spans="1:2" x14ac:dyDescent="0.35">
      <c r="A916" s="2" t="s">
        <v>362</v>
      </c>
      <c r="B916" t="s">
        <v>1359</v>
      </c>
    </row>
    <row r="917" spans="1:2" x14ac:dyDescent="0.35">
      <c r="A917" s="2" t="s">
        <v>929</v>
      </c>
      <c r="B917" t="s">
        <v>929</v>
      </c>
    </row>
    <row r="918" spans="1:2" x14ac:dyDescent="0.35">
      <c r="A918" s="2" t="s">
        <v>929</v>
      </c>
      <c r="B918" t="s">
        <v>929</v>
      </c>
    </row>
    <row r="919" spans="1:2" x14ac:dyDescent="0.35">
      <c r="A919" s="2" t="s">
        <v>930</v>
      </c>
      <c r="B919" t="s">
        <v>930</v>
      </c>
    </row>
    <row r="920" spans="1:2" x14ac:dyDescent="0.35">
      <c r="A920" s="2" t="s">
        <v>931</v>
      </c>
      <c r="B920" t="s">
        <v>931</v>
      </c>
    </row>
    <row r="921" spans="1:2" x14ac:dyDescent="0.35">
      <c r="A921" s="2" t="s">
        <v>932</v>
      </c>
      <c r="B921" t="s">
        <v>1360</v>
      </c>
    </row>
    <row r="922" spans="1:2" x14ac:dyDescent="0.35">
      <c r="A922" s="2" t="s">
        <v>363</v>
      </c>
      <c r="B922" t="s">
        <v>1361</v>
      </c>
    </row>
    <row r="923" spans="1:2" x14ac:dyDescent="0.35">
      <c r="A923" s="2" t="s">
        <v>933</v>
      </c>
      <c r="B923" t="s">
        <v>933</v>
      </c>
    </row>
    <row r="924" spans="1:2" x14ac:dyDescent="0.35">
      <c r="A924" s="2" t="s">
        <v>934</v>
      </c>
      <c r="B924" t="s">
        <v>934</v>
      </c>
    </row>
    <row r="925" spans="1:2" x14ac:dyDescent="0.35">
      <c r="A925" s="2" t="s">
        <v>935</v>
      </c>
      <c r="B925" t="s">
        <v>935</v>
      </c>
    </row>
    <row r="926" spans="1:2" x14ac:dyDescent="0.35">
      <c r="A926" s="2" t="s">
        <v>936</v>
      </c>
      <c r="B926" t="s">
        <v>936</v>
      </c>
    </row>
    <row r="927" spans="1:2" x14ac:dyDescent="0.35">
      <c r="A927" s="2" t="s">
        <v>937</v>
      </c>
      <c r="B927" t="s">
        <v>937</v>
      </c>
    </row>
    <row r="928" spans="1:2" x14ac:dyDescent="0.35">
      <c r="A928" s="2" t="s">
        <v>938</v>
      </c>
      <c r="B928" t="s">
        <v>938</v>
      </c>
    </row>
    <row r="929" spans="1:2" x14ac:dyDescent="0.35">
      <c r="A929" s="2" t="s">
        <v>939</v>
      </c>
      <c r="B929" t="s">
        <v>939</v>
      </c>
    </row>
    <row r="930" spans="1:2" x14ac:dyDescent="0.35">
      <c r="A930" s="2" t="s">
        <v>939</v>
      </c>
      <c r="B930" t="s">
        <v>939</v>
      </c>
    </row>
    <row r="931" spans="1:2" x14ac:dyDescent="0.35">
      <c r="A931" s="2" t="s">
        <v>940</v>
      </c>
      <c r="B931" t="s">
        <v>940</v>
      </c>
    </row>
    <row r="932" spans="1:2" x14ac:dyDescent="0.35">
      <c r="A932" s="2" t="s">
        <v>940</v>
      </c>
      <c r="B932" t="s">
        <v>940</v>
      </c>
    </row>
    <row r="933" spans="1:2" x14ac:dyDescent="0.35">
      <c r="A933" s="2" t="s">
        <v>941</v>
      </c>
      <c r="B933" t="s">
        <v>941</v>
      </c>
    </row>
    <row r="934" spans="1:2" x14ac:dyDescent="0.35">
      <c r="A934" s="2" t="s">
        <v>941</v>
      </c>
      <c r="B934" t="s">
        <v>941</v>
      </c>
    </row>
    <row r="935" spans="1:2" x14ac:dyDescent="0.35">
      <c r="A935" s="2" t="s">
        <v>942</v>
      </c>
      <c r="B935" t="s">
        <v>942</v>
      </c>
    </row>
    <row r="936" spans="1:2" x14ac:dyDescent="0.35">
      <c r="A936" s="2" t="s">
        <v>943</v>
      </c>
      <c r="B936" t="s">
        <v>943</v>
      </c>
    </row>
    <row r="937" spans="1:2" x14ac:dyDescent="0.35">
      <c r="A937" s="2" t="s">
        <v>944</v>
      </c>
      <c r="B937" t="s">
        <v>944</v>
      </c>
    </row>
    <row r="938" spans="1:2" x14ac:dyDescent="0.35">
      <c r="A938" s="2" t="s">
        <v>945</v>
      </c>
      <c r="B938" t="s">
        <v>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8286-4BC4-4E13-B97D-ADFF227E932D}">
  <dimension ref="A1:H1076"/>
  <sheetViews>
    <sheetView topLeftCell="A1060" workbookViewId="0">
      <selection activeCell="E1" sqref="E1:H1076"/>
    </sheetView>
  </sheetViews>
  <sheetFormatPr defaultRowHeight="14.5" x14ac:dyDescent="0.35"/>
  <cols>
    <col min="1" max="1" width="45.08984375" bestFit="1" customWidth="1"/>
    <col min="5" max="5" width="47.08984375" bestFit="1" customWidth="1"/>
    <col min="6" max="6" width="10.1796875" bestFit="1" customWidth="1"/>
    <col min="7" max="7" width="13.08984375" bestFit="1" customWidth="1"/>
    <col min="8" max="8" width="5.81640625" bestFit="1" customWidth="1"/>
  </cols>
  <sheetData>
    <row r="1" spans="1:8" ht="43.5" x14ac:dyDescent="0.35">
      <c r="A1" s="5" t="s">
        <v>364</v>
      </c>
      <c r="B1" s="6"/>
      <c r="C1" s="7" t="s">
        <v>365</v>
      </c>
      <c r="D1" s="8" t="s">
        <v>366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x14ac:dyDescent="0.35">
      <c r="A2" s="2" t="s">
        <v>377</v>
      </c>
      <c r="B2" s="2" t="s">
        <v>367</v>
      </c>
      <c r="C2" s="3">
        <v>5331.23</v>
      </c>
      <c r="D2" s="1">
        <v>5980</v>
      </c>
      <c r="E2" t="str">
        <f>VLOOKUP(A2,Sheet2!A:E,5,)</f>
        <v>06 ROSE VODKA</v>
      </c>
      <c r="F2" t="s">
        <v>4</v>
      </c>
      <c r="G2" s="3">
        <v>5331.23</v>
      </c>
      <c r="H2" s="1">
        <v>5980</v>
      </c>
    </row>
    <row r="3" spans="1:8" x14ac:dyDescent="0.35">
      <c r="A3" s="2" t="s">
        <v>378</v>
      </c>
      <c r="B3" s="2" t="s">
        <v>368</v>
      </c>
      <c r="C3" s="3">
        <v>532.94000000000005</v>
      </c>
      <c r="D3" s="1">
        <v>600</v>
      </c>
      <c r="E3" t="str">
        <f>VLOOKUP(A3,Sheet2!A:E,5,)</f>
        <v>100 PIPERS 12 YO BLENDED SCOTCH</v>
      </c>
      <c r="F3" t="s">
        <v>374</v>
      </c>
      <c r="G3" s="3">
        <v>532.94000000000005</v>
      </c>
      <c r="H3" s="1">
        <v>600</v>
      </c>
    </row>
    <row r="4" spans="1:8" x14ac:dyDescent="0.35">
      <c r="A4" s="2" t="s">
        <v>378</v>
      </c>
      <c r="B4" s="2" t="s">
        <v>369</v>
      </c>
      <c r="C4" s="3">
        <v>2141.14</v>
      </c>
      <c r="D4" s="1">
        <v>2400</v>
      </c>
      <c r="E4" t="str">
        <f>VLOOKUP(A4,Sheet2!A:E,5,)</f>
        <v>100 PIPERS 12 YO BLENDED SCOTCH</v>
      </c>
      <c r="F4" t="s">
        <v>4</v>
      </c>
      <c r="G4" s="3">
        <v>2141.14</v>
      </c>
      <c r="H4" s="1">
        <v>2400</v>
      </c>
    </row>
    <row r="5" spans="1:8" x14ac:dyDescent="0.35">
      <c r="A5" s="2" t="s">
        <v>379</v>
      </c>
      <c r="B5" s="2" t="s">
        <v>368</v>
      </c>
      <c r="C5" s="3">
        <v>368.75</v>
      </c>
      <c r="D5" s="1">
        <v>420</v>
      </c>
      <c r="E5" t="str">
        <f>VLOOKUP(A5,Sheet2!A:E,5,)</f>
        <v>100 PIPERS SCOTCH</v>
      </c>
      <c r="F5" t="s">
        <v>374</v>
      </c>
      <c r="G5" s="3">
        <v>368.75</v>
      </c>
      <c r="H5" s="1">
        <v>420</v>
      </c>
    </row>
    <row r="6" spans="1:8" x14ac:dyDescent="0.35">
      <c r="A6" s="2" t="s">
        <v>379</v>
      </c>
      <c r="B6" s="2" t="s">
        <v>370</v>
      </c>
      <c r="C6" s="3">
        <v>754.58</v>
      </c>
      <c r="D6" s="1">
        <v>850</v>
      </c>
      <c r="E6" t="str">
        <f>VLOOKUP(A6,Sheet2!A:E,5,)</f>
        <v>100 PIPERS SCOTCH</v>
      </c>
      <c r="F6" t="s">
        <v>5</v>
      </c>
      <c r="G6" s="3">
        <v>754.58</v>
      </c>
      <c r="H6" s="1">
        <v>850</v>
      </c>
    </row>
    <row r="7" spans="1:8" x14ac:dyDescent="0.35">
      <c r="A7" s="2" t="s">
        <v>379</v>
      </c>
      <c r="B7" s="2" t="s">
        <v>369</v>
      </c>
      <c r="C7" s="3">
        <v>1498.23</v>
      </c>
      <c r="D7" s="1">
        <v>1680</v>
      </c>
      <c r="E7" t="str">
        <f>VLOOKUP(A7,Sheet2!A:E,5,)</f>
        <v>100 PIPERS SCOTCH</v>
      </c>
      <c r="F7" t="s">
        <v>4</v>
      </c>
      <c r="G7" s="3">
        <v>1498.23</v>
      </c>
      <c r="H7" s="1">
        <v>1680</v>
      </c>
    </row>
    <row r="8" spans="1:8" x14ac:dyDescent="0.35">
      <c r="A8" s="2" t="s">
        <v>380</v>
      </c>
      <c r="B8" s="2" t="s">
        <v>368</v>
      </c>
      <c r="C8" s="3">
        <v>515.14</v>
      </c>
      <c r="D8" s="1">
        <v>580</v>
      </c>
      <c r="E8" t="str">
        <f>VLOOKUP(A8,Sheet2!A:E,5,)</f>
        <v>100 PIPERS SCOTCH 8 YEAR</v>
      </c>
      <c r="F8" t="s">
        <v>374</v>
      </c>
      <c r="G8" s="3">
        <v>515.14</v>
      </c>
      <c r="H8" s="1">
        <v>580</v>
      </c>
    </row>
    <row r="9" spans="1:8" x14ac:dyDescent="0.35">
      <c r="A9" s="2" t="s">
        <v>380</v>
      </c>
      <c r="B9" s="2" t="s">
        <v>369</v>
      </c>
      <c r="C9" s="3">
        <v>2054.7199999999998</v>
      </c>
      <c r="D9" s="1">
        <v>2310</v>
      </c>
      <c r="E9" t="str">
        <f>VLOOKUP(A9,Sheet2!A:E,5,)</f>
        <v>100 PIPERS SCOTCH 8 YEAR</v>
      </c>
      <c r="F9" t="s">
        <v>4</v>
      </c>
      <c r="G9" s="3">
        <v>2054.7199999999998</v>
      </c>
      <c r="H9" s="1">
        <v>2310</v>
      </c>
    </row>
    <row r="10" spans="1:8" x14ac:dyDescent="0.35">
      <c r="A10" s="2" t="s">
        <v>381</v>
      </c>
      <c r="B10" s="2" t="s">
        <v>369</v>
      </c>
      <c r="C10" s="3">
        <v>4077.84</v>
      </c>
      <c r="D10" s="1">
        <v>4570</v>
      </c>
      <c r="E10" t="str">
        <f>VLOOKUP(A10,Sheet2!A:E,5,)</f>
        <v>1943 VIRASAT INDIAN WHISKY</v>
      </c>
      <c r="F10" t="s">
        <v>4</v>
      </c>
      <c r="G10" s="3">
        <v>4077.84</v>
      </c>
      <c r="H10" s="1">
        <v>4570</v>
      </c>
    </row>
    <row r="11" spans="1:8" x14ac:dyDescent="0.35">
      <c r="A11" s="2" t="s">
        <v>382</v>
      </c>
      <c r="B11" s="2" t="s">
        <v>368</v>
      </c>
      <c r="C11" s="3">
        <v>215.51</v>
      </c>
      <c r="D11" s="1">
        <v>250</v>
      </c>
      <c r="E11" t="str">
        <f>VLOOKUP(A11,Sheet2!A:E,5,)</f>
        <v>1965 ESPRESSO COFFEE PREMIUM DARK RUM</v>
      </c>
      <c r="F11" t="s">
        <v>374</v>
      </c>
      <c r="G11" s="3">
        <v>215.51</v>
      </c>
      <c r="H11" s="1">
        <v>250</v>
      </c>
    </row>
    <row r="12" spans="1:8" x14ac:dyDescent="0.35">
      <c r="A12" s="2" t="s">
        <v>382</v>
      </c>
      <c r="B12" s="2" t="s">
        <v>370</v>
      </c>
      <c r="C12" s="3">
        <v>428.98</v>
      </c>
      <c r="D12" s="1">
        <v>490</v>
      </c>
      <c r="E12" t="str">
        <f>VLOOKUP(A12,Sheet2!A:E,5,)</f>
        <v>1965 ESPRESSO COFFEE PREMIUM DARK RUM</v>
      </c>
      <c r="F12" t="s">
        <v>5</v>
      </c>
      <c r="G12" s="3">
        <v>428.98</v>
      </c>
      <c r="H12" s="1">
        <v>490</v>
      </c>
    </row>
    <row r="13" spans="1:8" x14ac:dyDescent="0.35">
      <c r="A13" s="2" t="s">
        <v>382</v>
      </c>
      <c r="B13" s="2" t="s">
        <v>369</v>
      </c>
      <c r="C13" s="3">
        <v>847.95</v>
      </c>
      <c r="D13" s="1">
        <v>950</v>
      </c>
      <c r="E13" t="str">
        <f>VLOOKUP(A13,Sheet2!A:E,5,)</f>
        <v>1965 ESPRESSO COFFEE PREMIUM DARK RUM</v>
      </c>
      <c r="F13" t="s">
        <v>4</v>
      </c>
      <c r="G13" s="3">
        <v>847.95</v>
      </c>
      <c r="H13" s="1">
        <v>950</v>
      </c>
    </row>
    <row r="14" spans="1:8" x14ac:dyDescent="0.35">
      <c r="A14" s="2" t="s">
        <v>383</v>
      </c>
      <c r="B14" s="2" t="s">
        <v>368</v>
      </c>
      <c r="C14" s="3">
        <v>177.26</v>
      </c>
      <c r="D14" s="1">
        <v>200</v>
      </c>
      <c r="E14" t="str">
        <f>VLOOKUP(A14,Sheet2!A:E,5,)</f>
        <v>1965 LEMON DASH RUM</v>
      </c>
      <c r="F14" t="s">
        <v>374</v>
      </c>
      <c r="G14" s="3">
        <v>177.26</v>
      </c>
      <c r="H14" s="1">
        <v>200</v>
      </c>
    </row>
    <row r="15" spans="1:8" x14ac:dyDescent="0.35">
      <c r="A15" s="2" t="s">
        <v>383</v>
      </c>
      <c r="B15" s="2" t="s">
        <v>370</v>
      </c>
      <c r="C15" s="3">
        <v>362.62</v>
      </c>
      <c r="D15" s="1">
        <v>410</v>
      </c>
      <c r="E15" t="str">
        <f>VLOOKUP(A15,Sheet2!A:E,5,)</f>
        <v>1965 LEMON DASH RUM</v>
      </c>
      <c r="F15" t="s">
        <v>5</v>
      </c>
      <c r="G15" s="3">
        <v>362.62</v>
      </c>
      <c r="H15" s="1">
        <v>410</v>
      </c>
    </row>
    <row r="16" spans="1:8" x14ac:dyDescent="0.35">
      <c r="A16" s="2" t="s">
        <v>383</v>
      </c>
      <c r="B16" s="2" t="s">
        <v>369</v>
      </c>
      <c r="C16" s="3">
        <v>695.23</v>
      </c>
      <c r="D16" s="1">
        <v>780</v>
      </c>
      <c r="E16" t="str">
        <f>VLOOKUP(A16,Sheet2!A:E,5,)</f>
        <v>1965 LEMON DASH RUM</v>
      </c>
      <c r="F16" t="s">
        <v>4</v>
      </c>
      <c r="G16" s="3">
        <v>695.23</v>
      </c>
      <c r="H16" s="1">
        <v>780</v>
      </c>
    </row>
    <row r="17" spans="1:8" x14ac:dyDescent="0.35">
      <c r="A17" s="2" t="s">
        <v>384</v>
      </c>
      <c r="B17" s="2" t="s">
        <v>369</v>
      </c>
      <c r="C17" s="3">
        <v>2073.54</v>
      </c>
      <c r="D17" s="1">
        <v>2330</v>
      </c>
      <c r="E17" t="str">
        <f>VLOOKUP(A17,Sheet2!A:E,5,)</f>
        <v>2021 LOST POET ROSE WINE</v>
      </c>
      <c r="F17" t="s">
        <v>4</v>
      </c>
      <c r="G17" s="3">
        <v>2073.54</v>
      </c>
      <c r="H17" s="1">
        <v>2330</v>
      </c>
    </row>
    <row r="18" spans="1:8" x14ac:dyDescent="0.35">
      <c r="A18" s="2" t="s">
        <v>385</v>
      </c>
      <c r="B18" s="2" t="s">
        <v>370</v>
      </c>
      <c r="C18" s="3">
        <v>8908.33</v>
      </c>
      <c r="D18" s="1">
        <v>9980</v>
      </c>
      <c r="E18" t="str">
        <f>VLOOKUP(A18,Sheet2!A:E,5,)</f>
        <v>44° N GIN IMAGINED DISTILLED IN GRASSE</v>
      </c>
      <c r="F18" t="s">
        <v>5</v>
      </c>
      <c r="G18" s="3">
        <v>8908.33</v>
      </c>
      <c r="H18" s="1">
        <v>9980</v>
      </c>
    </row>
    <row r="19" spans="1:8" x14ac:dyDescent="0.35">
      <c r="A19" s="2" t="s">
        <v>386</v>
      </c>
      <c r="B19" s="2" t="s">
        <v>371</v>
      </c>
      <c r="C19" s="3">
        <v>79.41</v>
      </c>
      <c r="D19" s="1">
        <v>90</v>
      </c>
      <c r="E19" t="str">
        <f>VLOOKUP(A19,Sheet2!A:E,5,)</f>
        <v>8PM BLACK WHY</v>
      </c>
      <c r="F19" t="s">
        <v>376</v>
      </c>
      <c r="G19" s="3">
        <v>79.41</v>
      </c>
      <c r="H19" s="1">
        <v>90</v>
      </c>
    </row>
    <row r="20" spans="1:8" x14ac:dyDescent="0.35">
      <c r="A20" s="2" t="s">
        <v>386</v>
      </c>
      <c r="B20" s="2" t="s">
        <v>368</v>
      </c>
      <c r="C20" s="3">
        <v>148.76</v>
      </c>
      <c r="D20" s="1">
        <v>170</v>
      </c>
      <c r="E20" t="str">
        <f>VLOOKUP(A20,Sheet2!A:E,5,)</f>
        <v>8PM BLACK WHY</v>
      </c>
      <c r="F20" t="s">
        <v>374</v>
      </c>
      <c r="G20" s="3">
        <v>148.76</v>
      </c>
      <c r="H20" s="1">
        <v>170</v>
      </c>
    </row>
    <row r="21" spans="1:8" x14ac:dyDescent="0.35">
      <c r="A21" s="2" t="s">
        <v>386</v>
      </c>
      <c r="B21" s="2" t="s">
        <v>370</v>
      </c>
      <c r="C21" s="3">
        <v>295.85000000000002</v>
      </c>
      <c r="D21" s="1">
        <v>340</v>
      </c>
      <c r="E21" t="str">
        <f>VLOOKUP(A21,Sheet2!A:E,5,)</f>
        <v>8PM BLACK WHY</v>
      </c>
      <c r="F21" t="s">
        <v>5</v>
      </c>
      <c r="G21" s="3">
        <v>295.85000000000002</v>
      </c>
      <c r="H21" s="1">
        <v>340</v>
      </c>
    </row>
    <row r="22" spans="1:8" x14ac:dyDescent="0.35">
      <c r="A22" s="2" t="s">
        <v>386</v>
      </c>
      <c r="B22" s="2" t="s">
        <v>369</v>
      </c>
      <c r="C22" s="3">
        <v>581.67999999999995</v>
      </c>
      <c r="D22" s="1">
        <v>660</v>
      </c>
      <c r="E22" t="str">
        <f>VLOOKUP(A22,Sheet2!A:E,5,)</f>
        <v>8PM BLACK WHY</v>
      </c>
      <c r="F22" t="s">
        <v>4</v>
      </c>
      <c r="G22" s="3">
        <v>581.67999999999995</v>
      </c>
      <c r="H22" s="1">
        <v>660</v>
      </c>
    </row>
    <row r="23" spans="1:8" x14ac:dyDescent="0.35">
      <c r="A23" s="2" t="s">
        <v>387</v>
      </c>
      <c r="B23" s="2" t="s">
        <v>368</v>
      </c>
      <c r="C23" s="3">
        <v>109.53</v>
      </c>
      <c r="D23" s="1">
        <v>130</v>
      </c>
      <c r="E23" t="str">
        <f>VLOOKUP(A23,Sheet2!A:E,5,)</f>
        <v>8PM GOLD WHISKY</v>
      </c>
      <c r="F23" t="s">
        <v>374</v>
      </c>
      <c r="G23" s="3">
        <v>109.53</v>
      </c>
      <c r="H23" s="1">
        <v>130</v>
      </c>
    </row>
    <row r="24" spans="1:8" x14ac:dyDescent="0.35">
      <c r="A24" s="2" t="s">
        <v>387</v>
      </c>
      <c r="B24" s="2" t="s">
        <v>370</v>
      </c>
      <c r="C24" s="3">
        <v>203.95</v>
      </c>
      <c r="D24" s="1">
        <v>230</v>
      </c>
      <c r="E24" t="str">
        <f>VLOOKUP(A24,Sheet2!A:E,5,)</f>
        <v>8PM GOLD WHISKY</v>
      </c>
      <c r="F24" t="s">
        <v>5</v>
      </c>
      <c r="G24" s="3">
        <v>203.95</v>
      </c>
      <c r="H24" s="1">
        <v>230</v>
      </c>
    </row>
    <row r="25" spans="1:8" x14ac:dyDescent="0.35">
      <c r="A25" s="2" t="s">
        <v>387</v>
      </c>
      <c r="B25" s="2" t="s">
        <v>369</v>
      </c>
      <c r="C25" s="3">
        <v>387.9</v>
      </c>
      <c r="D25" s="1">
        <v>440</v>
      </c>
      <c r="E25" t="str">
        <f>VLOOKUP(A25,Sheet2!A:E,5,)</f>
        <v>8PM GOLD WHISKY</v>
      </c>
      <c r="F25" t="s">
        <v>4</v>
      </c>
      <c r="G25" s="3">
        <v>387.9</v>
      </c>
      <c r="H25" s="1">
        <v>440</v>
      </c>
    </row>
    <row r="26" spans="1:8" x14ac:dyDescent="0.35">
      <c r="A26" s="2" t="s">
        <v>388</v>
      </c>
      <c r="B26" s="2" t="s">
        <v>368</v>
      </c>
      <c r="C26" s="3">
        <v>102.72</v>
      </c>
      <c r="D26" s="1">
        <v>120</v>
      </c>
      <c r="E26" t="str">
        <f>VLOOKUP(A26,Sheet2!A:E,5,)</f>
        <v>8PM WHISKY</v>
      </c>
      <c r="F26" t="s">
        <v>374</v>
      </c>
      <c r="G26" s="3">
        <v>102.72</v>
      </c>
      <c r="H26" s="1">
        <v>120</v>
      </c>
    </row>
    <row r="27" spans="1:8" x14ac:dyDescent="0.35">
      <c r="A27" s="2" t="s">
        <v>388</v>
      </c>
      <c r="B27" s="2" t="s">
        <v>370</v>
      </c>
      <c r="C27" s="3">
        <v>203.94</v>
      </c>
      <c r="D27" s="1">
        <v>230</v>
      </c>
      <c r="E27" t="str">
        <f>VLOOKUP(A27,Sheet2!A:E,5,)</f>
        <v>8PM WHISKY</v>
      </c>
      <c r="F27" t="s">
        <v>5</v>
      </c>
      <c r="G27" s="3">
        <v>203.94</v>
      </c>
      <c r="H27" s="1">
        <v>230</v>
      </c>
    </row>
    <row r="28" spans="1:8" x14ac:dyDescent="0.35">
      <c r="A28" s="2" t="s">
        <v>388</v>
      </c>
      <c r="B28" s="2" t="s">
        <v>369</v>
      </c>
      <c r="C28" s="3">
        <v>387.87</v>
      </c>
      <c r="D28" s="1">
        <v>440</v>
      </c>
      <c r="E28" t="str">
        <f>VLOOKUP(A28,Sheet2!A:E,5,)</f>
        <v>8PM WHISKY</v>
      </c>
      <c r="F28" t="s">
        <v>4</v>
      </c>
      <c r="G28" s="3">
        <v>387.87</v>
      </c>
      <c r="H28" s="1">
        <v>440</v>
      </c>
    </row>
    <row r="29" spans="1:8" x14ac:dyDescent="0.35">
      <c r="A29" s="2" t="s">
        <v>389</v>
      </c>
      <c r="B29" s="2" t="s">
        <v>368</v>
      </c>
      <c r="C29" s="3">
        <v>129.88999999999999</v>
      </c>
      <c r="D29" s="1">
        <v>150</v>
      </c>
      <c r="E29" t="str">
        <f>VLOOKUP(A29,Sheet2!A:E,5,)</f>
        <v>9 RACE COURSE SUPERIOR GRAIN WHISKY</v>
      </c>
      <c r="F29" t="s">
        <v>374</v>
      </c>
      <c r="G29" s="3">
        <v>129.88999999999999</v>
      </c>
      <c r="H29" s="1">
        <v>150</v>
      </c>
    </row>
    <row r="30" spans="1:8" x14ac:dyDescent="0.35">
      <c r="A30" s="2" t="s">
        <v>389</v>
      </c>
      <c r="B30" s="2" t="s">
        <v>370</v>
      </c>
      <c r="C30" s="3">
        <v>268.08999999999997</v>
      </c>
      <c r="D30" s="1">
        <v>310</v>
      </c>
      <c r="E30" t="str">
        <f>VLOOKUP(A30,Sheet2!A:E,5,)</f>
        <v>9 RACE COURSE SUPERIOR GRAIN WHISKY</v>
      </c>
      <c r="F30" t="s">
        <v>5</v>
      </c>
      <c r="G30" s="3">
        <v>268.08999999999997</v>
      </c>
      <c r="H30" s="1">
        <v>310</v>
      </c>
    </row>
    <row r="31" spans="1:8" x14ac:dyDescent="0.35">
      <c r="A31" s="2" t="s">
        <v>389</v>
      </c>
      <c r="B31" s="2" t="s">
        <v>369</v>
      </c>
      <c r="C31" s="3">
        <v>526.17999999999995</v>
      </c>
      <c r="D31" s="1">
        <v>590</v>
      </c>
      <c r="E31" t="str">
        <f>VLOOKUP(A31,Sheet2!A:E,5,)</f>
        <v>9 RACE COURSE SUPERIOR GRAIN WHISKY</v>
      </c>
      <c r="F31" t="s">
        <v>4</v>
      </c>
      <c r="G31" s="3">
        <v>526.17999999999995</v>
      </c>
      <c r="H31" s="1">
        <v>590</v>
      </c>
    </row>
    <row r="32" spans="1:8" x14ac:dyDescent="0.35">
      <c r="A32" s="2" t="s">
        <v>390</v>
      </c>
      <c r="B32" s="2" t="s">
        <v>369</v>
      </c>
      <c r="C32" s="3">
        <v>3300.69</v>
      </c>
      <c r="D32" s="1">
        <v>3700</v>
      </c>
      <c r="E32" t="str">
        <f>VLOOKUP(A32,Sheet2!A:E,5,)</f>
        <v>ABERFELDY 12 YO OLD WHISKY</v>
      </c>
      <c r="F32" t="s">
        <v>4</v>
      </c>
      <c r="G32" s="3">
        <v>3300.69</v>
      </c>
      <c r="H32" s="1">
        <v>3700</v>
      </c>
    </row>
    <row r="33" spans="1:8" x14ac:dyDescent="0.35">
      <c r="A33" s="2" t="s">
        <v>391</v>
      </c>
      <c r="B33" s="2" t="s">
        <v>367</v>
      </c>
      <c r="C33" s="3">
        <v>3466.51</v>
      </c>
      <c r="D33" s="1">
        <v>3890</v>
      </c>
      <c r="E33" t="str">
        <f>VLOOKUP(A33,Sheet2!A:E,5,)</f>
        <v>ABERLOUR 12 YO DOUBLE CASK</v>
      </c>
      <c r="F33" t="s">
        <v>4</v>
      </c>
      <c r="G33" s="3">
        <v>3466.51</v>
      </c>
      <c r="H33" s="1">
        <v>3890</v>
      </c>
    </row>
    <row r="34" spans="1:8" x14ac:dyDescent="0.35">
      <c r="A34" s="2" t="s">
        <v>392</v>
      </c>
      <c r="B34" s="2" t="s">
        <v>369</v>
      </c>
      <c r="C34" s="3">
        <v>1690.43</v>
      </c>
      <c r="D34" s="1">
        <v>1900</v>
      </c>
      <c r="E34" t="str">
        <f>VLOOKUP(A34,Sheet2!A:E,5,)</f>
        <v>ABSOLUTE GRAPEFRUIT</v>
      </c>
      <c r="F34" t="s">
        <v>4</v>
      </c>
      <c r="G34" s="3">
        <v>1690.43</v>
      </c>
      <c r="H34" s="1">
        <v>1900</v>
      </c>
    </row>
    <row r="35" spans="1:8" x14ac:dyDescent="0.35">
      <c r="A35" s="2" t="s">
        <v>6</v>
      </c>
      <c r="B35" s="2" t="s">
        <v>368</v>
      </c>
      <c r="C35" s="3">
        <v>558.85</v>
      </c>
      <c r="D35" s="1">
        <v>630</v>
      </c>
      <c r="E35" t="str">
        <f>VLOOKUP(A35,Sheet2!A:E,5,)</f>
        <v>ABSOLUTE VODKA</v>
      </c>
      <c r="F35" t="s">
        <v>374</v>
      </c>
      <c r="G35" s="3">
        <v>558.85</v>
      </c>
      <c r="H35" s="1">
        <v>630</v>
      </c>
    </row>
    <row r="36" spans="1:8" x14ac:dyDescent="0.35">
      <c r="A36" s="2" t="s">
        <v>7</v>
      </c>
      <c r="B36" s="2" t="s">
        <v>368</v>
      </c>
      <c r="C36" s="3">
        <v>598.29999999999995</v>
      </c>
      <c r="D36" s="1">
        <v>680</v>
      </c>
      <c r="E36" t="str">
        <f>VLOOKUP(A36,Sheet2!A:E,5,)</f>
        <v>ABSOLUTE VODKA</v>
      </c>
      <c r="F36" t="s">
        <v>374</v>
      </c>
      <c r="G36" s="3">
        <v>598.29999999999995</v>
      </c>
      <c r="H36" s="1">
        <v>680</v>
      </c>
    </row>
    <row r="37" spans="1:8" x14ac:dyDescent="0.35">
      <c r="A37" s="2" t="s">
        <v>8</v>
      </c>
      <c r="B37" s="2" t="s">
        <v>372</v>
      </c>
      <c r="C37" s="3">
        <v>150.11000000000001</v>
      </c>
      <c r="D37" s="1">
        <v>170</v>
      </c>
      <c r="E37" t="str">
        <f>VLOOKUP(A37,Sheet2!A:E,5,)</f>
        <v>ABSOLUTE VODKA</v>
      </c>
      <c r="F37" t="s">
        <v>374</v>
      </c>
      <c r="G37" s="3">
        <v>150.11000000000001</v>
      </c>
      <c r="H37" s="1">
        <v>170</v>
      </c>
    </row>
    <row r="38" spans="1:8" x14ac:dyDescent="0.35">
      <c r="A38" s="2" t="s">
        <v>9</v>
      </c>
      <c r="B38" s="2" t="s">
        <v>369</v>
      </c>
      <c r="C38" s="3">
        <v>1639.04</v>
      </c>
      <c r="D38" s="1">
        <v>1840</v>
      </c>
      <c r="E38" t="str">
        <f>VLOOKUP(A38,Sheet2!A:E,5,)</f>
        <v>ABSOLUTE VODKA</v>
      </c>
      <c r="F38" t="s">
        <v>4</v>
      </c>
      <c r="G38" s="3">
        <v>1639.04</v>
      </c>
      <c r="H38" s="1">
        <v>1840</v>
      </c>
    </row>
    <row r="39" spans="1:8" x14ac:dyDescent="0.35">
      <c r="A39" s="2" t="s">
        <v>393</v>
      </c>
      <c r="B39" s="2" t="s">
        <v>368</v>
      </c>
      <c r="C39" s="3">
        <v>609.96</v>
      </c>
      <c r="D39" s="1">
        <v>690</v>
      </c>
      <c r="E39" t="str">
        <f>VLOOKUP(A39,Sheet2!A:E,5,)</f>
        <v>ABSOLUT FLAVOUR</v>
      </c>
      <c r="F39" t="s">
        <v>374</v>
      </c>
      <c r="G39" s="3">
        <v>609.96</v>
      </c>
      <c r="H39" s="1">
        <v>690</v>
      </c>
    </row>
    <row r="40" spans="1:8" x14ac:dyDescent="0.35">
      <c r="A40" s="2" t="s">
        <v>394</v>
      </c>
      <c r="B40" s="2" t="s">
        <v>369</v>
      </c>
      <c r="C40" s="3">
        <v>1690.17</v>
      </c>
      <c r="D40" s="1">
        <v>1900</v>
      </c>
      <c r="E40" t="str">
        <f>VLOOKUP(A40,Sheet2!A:E,5,)</f>
        <v>ABSOLUT FLAVOUR(MDRIN CIT. RESP.LIME)</v>
      </c>
      <c r="F40" t="s">
        <v>4</v>
      </c>
      <c r="G40" s="3">
        <v>1690.17</v>
      </c>
      <c r="H40" s="1">
        <v>1900</v>
      </c>
    </row>
    <row r="41" spans="1:8" x14ac:dyDescent="0.35">
      <c r="A41" s="2" t="s">
        <v>10</v>
      </c>
      <c r="B41" s="2" t="s">
        <v>369</v>
      </c>
      <c r="C41" s="3">
        <v>2216.09</v>
      </c>
      <c r="D41" s="1">
        <v>2490</v>
      </c>
      <c r="E41" t="str">
        <f>VLOOKUP(A41,Sheet2!A:E,5,)</f>
        <v>ABSOLUT FLAVOUR</v>
      </c>
      <c r="F41" t="s">
        <v>4</v>
      </c>
      <c r="G41" s="3">
        <v>2216.09</v>
      </c>
      <c r="H41" s="1">
        <v>2490</v>
      </c>
    </row>
    <row r="42" spans="1:8" x14ac:dyDescent="0.35">
      <c r="A42" s="2" t="s">
        <v>395</v>
      </c>
      <c r="B42" s="2" t="s">
        <v>369</v>
      </c>
      <c r="C42" s="3">
        <v>1723.55</v>
      </c>
      <c r="D42" s="1">
        <v>1940</v>
      </c>
      <c r="E42" t="str">
        <f>VLOOKUP(A42,Sheet2!A:E,5,)</f>
        <v>ADIRA MACABEO WHITE</v>
      </c>
      <c r="F42" t="s">
        <v>4</v>
      </c>
      <c r="G42" s="3">
        <v>1723.55</v>
      </c>
      <c r="H42" s="1">
        <v>1940</v>
      </c>
    </row>
    <row r="43" spans="1:8" x14ac:dyDescent="0.35">
      <c r="A43" s="2" t="s">
        <v>396</v>
      </c>
      <c r="B43" s="2" t="s">
        <v>369</v>
      </c>
      <c r="C43" s="3">
        <v>1507.2</v>
      </c>
      <c r="D43" s="1">
        <v>1690</v>
      </c>
      <c r="E43" t="str">
        <f>VLOOKUP(A43,Sheet2!A:E,5,)</f>
        <v>ADIRA MERLOT (1)</v>
      </c>
      <c r="F43" t="s">
        <v>4</v>
      </c>
      <c r="G43" s="3">
        <v>1507.2</v>
      </c>
      <c r="H43" s="1">
        <v>1690</v>
      </c>
    </row>
    <row r="44" spans="1:8" x14ac:dyDescent="0.35">
      <c r="A44" s="2" t="s">
        <v>397</v>
      </c>
      <c r="B44" s="2" t="s">
        <v>369</v>
      </c>
      <c r="C44" s="3">
        <v>1801.61</v>
      </c>
      <c r="D44" s="1">
        <v>2020</v>
      </c>
      <c r="E44" t="str">
        <f>VLOOKUP(A44,Sheet2!A:E,5,)</f>
        <v>ADIRA ROSE WINE</v>
      </c>
      <c r="F44" t="s">
        <v>4</v>
      </c>
      <c r="G44" s="3">
        <v>1801.61</v>
      </c>
      <c r="H44" s="1">
        <v>2020</v>
      </c>
    </row>
    <row r="45" spans="1:8" x14ac:dyDescent="0.35">
      <c r="A45" s="2" t="s">
        <v>398</v>
      </c>
      <c r="B45" s="2" t="s">
        <v>368</v>
      </c>
      <c r="C45" s="3">
        <v>129.88999999999999</v>
      </c>
      <c r="D45" s="1">
        <v>150</v>
      </c>
      <c r="E45" t="str">
        <f>VLOOKUP(A45,Sheet2!A:E,5,)</f>
        <v>AFTER DARK BLUE RARE WHISKY</v>
      </c>
      <c r="F45" t="s">
        <v>374</v>
      </c>
      <c r="G45" s="3">
        <v>129.88999999999999</v>
      </c>
      <c r="H45" s="1">
        <v>150</v>
      </c>
    </row>
    <row r="46" spans="1:8" x14ac:dyDescent="0.35">
      <c r="A46" s="2" t="s">
        <v>399</v>
      </c>
      <c r="B46" s="2" t="s">
        <v>370</v>
      </c>
      <c r="C46" s="3">
        <v>268.08999999999997</v>
      </c>
      <c r="D46" s="1">
        <v>310</v>
      </c>
      <c r="E46" t="str">
        <f>VLOOKUP(A46,Sheet2!A:E,5,)</f>
        <v>AFTER DARK BLUE RARE WHISKY</v>
      </c>
      <c r="F46" t="s">
        <v>5</v>
      </c>
      <c r="G46" s="3">
        <v>268.08999999999997</v>
      </c>
      <c r="H46" s="1">
        <v>310</v>
      </c>
    </row>
    <row r="47" spans="1:8" x14ac:dyDescent="0.35">
      <c r="A47" s="2" t="s">
        <v>400</v>
      </c>
      <c r="B47" s="2" t="s">
        <v>369</v>
      </c>
      <c r="C47" s="3">
        <v>526.17999999999995</v>
      </c>
      <c r="D47" s="1">
        <v>590</v>
      </c>
      <c r="E47" t="str">
        <f>VLOOKUP(A47,Sheet2!A:E,5,)</f>
        <v>AFTER DARK BLUE RARE WHISKY</v>
      </c>
      <c r="F47" t="s">
        <v>4</v>
      </c>
      <c r="G47" s="3">
        <v>526.17999999999995</v>
      </c>
      <c r="H47" s="1">
        <v>590</v>
      </c>
    </row>
    <row r="48" spans="1:8" x14ac:dyDescent="0.35">
      <c r="A48" s="2" t="s">
        <v>401</v>
      </c>
      <c r="B48" s="2" t="s">
        <v>370</v>
      </c>
      <c r="C48" s="3">
        <v>3278.83</v>
      </c>
      <c r="D48" s="1">
        <v>3680</v>
      </c>
      <c r="E48" t="str">
        <f>VLOOKUP(A48,Sheet2!A:E,5,)</f>
        <v>AKASHI BLANDED WHISKY</v>
      </c>
      <c r="F48" t="s">
        <v>5</v>
      </c>
      <c r="G48" s="3">
        <v>3278.83</v>
      </c>
      <c r="H48" s="1">
        <v>3680</v>
      </c>
    </row>
    <row r="49" spans="1:8" x14ac:dyDescent="0.35">
      <c r="A49" s="2" t="s">
        <v>402</v>
      </c>
      <c r="B49" s="2" t="s">
        <v>367</v>
      </c>
      <c r="C49" s="3">
        <v>4034.17</v>
      </c>
      <c r="D49" s="1">
        <v>4520</v>
      </c>
      <c r="E49" t="str">
        <f>VLOOKUP(A49,Sheet2!A:E,5,)</f>
        <v>AKASHI BLANDED BLUE WHISKY</v>
      </c>
      <c r="F49" t="s">
        <v>4</v>
      </c>
      <c r="G49" s="3">
        <v>4034.17</v>
      </c>
      <c r="H49" s="1">
        <v>4520</v>
      </c>
    </row>
    <row r="50" spans="1:8" x14ac:dyDescent="0.35">
      <c r="A50" s="2" t="s">
        <v>403</v>
      </c>
      <c r="B50" s="2" t="s">
        <v>368</v>
      </c>
      <c r="C50" s="3">
        <v>177.04</v>
      </c>
      <c r="D50" s="1">
        <v>200</v>
      </c>
      <c r="E50" t="str">
        <f>VLOOKUP(A50,Sheet2!A:E,5,)</f>
        <v>ALCOBREW SINGLE OAK WHISKY</v>
      </c>
      <c r="F50" t="s">
        <v>374</v>
      </c>
      <c r="G50" s="3">
        <v>177.04</v>
      </c>
      <c r="H50" s="1">
        <v>200</v>
      </c>
    </row>
    <row r="51" spans="1:8" x14ac:dyDescent="0.35">
      <c r="A51" s="2" t="s">
        <v>403</v>
      </c>
      <c r="B51" s="2" t="s">
        <v>370</v>
      </c>
      <c r="C51" s="3">
        <v>352.58</v>
      </c>
      <c r="D51" s="1">
        <v>400</v>
      </c>
      <c r="E51" t="str">
        <f>VLOOKUP(A51,Sheet2!A:E,5,)</f>
        <v>ALCOBREW SINGLE OAK WHISKY</v>
      </c>
      <c r="F51" t="s">
        <v>5</v>
      </c>
      <c r="G51" s="3">
        <v>352.58</v>
      </c>
      <c r="H51" s="1">
        <v>400</v>
      </c>
    </row>
    <row r="52" spans="1:8" x14ac:dyDescent="0.35">
      <c r="A52" s="2" t="s">
        <v>403</v>
      </c>
      <c r="B52" s="2" t="s">
        <v>369</v>
      </c>
      <c r="C52" s="3">
        <v>684.42</v>
      </c>
      <c r="D52" s="1">
        <v>770</v>
      </c>
      <c r="E52" t="str">
        <f>VLOOKUP(A52,Sheet2!A:E,5,)</f>
        <v>ALCOBREW SINGLE OAK WHISKY</v>
      </c>
      <c r="F52" t="s">
        <v>4</v>
      </c>
      <c r="G52" s="3">
        <v>684.42</v>
      </c>
      <c r="H52" s="1">
        <v>770</v>
      </c>
    </row>
    <row r="53" spans="1:8" x14ac:dyDescent="0.35">
      <c r="A53" s="2" t="s">
        <v>11</v>
      </c>
      <c r="B53" s="2" t="s">
        <v>367</v>
      </c>
      <c r="C53" s="3">
        <v>3248.14</v>
      </c>
      <c r="D53" s="1">
        <v>3640</v>
      </c>
      <c r="E53" t="str">
        <f>VLOOKUP(A53,Sheet2!A:E,5,)</f>
        <v>ALENTADOR CREMA FRESA CON</v>
      </c>
      <c r="F53" t="s">
        <v>4</v>
      </c>
      <c r="G53" s="3">
        <v>3248.14</v>
      </c>
      <c r="H53" s="1">
        <v>3640</v>
      </c>
    </row>
    <row r="54" spans="1:8" x14ac:dyDescent="0.35">
      <c r="A54" s="2" t="s">
        <v>12</v>
      </c>
      <c r="B54" s="2" t="s">
        <v>367</v>
      </c>
      <c r="C54" s="3">
        <v>3202.12</v>
      </c>
      <c r="D54" s="1">
        <v>3590</v>
      </c>
      <c r="E54" t="str">
        <f>VLOOKUP(A54,Sheet2!A:E,5,)</f>
        <v>ALENTADOR ROSE TEQUILA</v>
      </c>
      <c r="F54" t="s">
        <v>4</v>
      </c>
      <c r="G54" s="3">
        <v>3202.12</v>
      </c>
      <c r="H54" s="1">
        <v>3590</v>
      </c>
    </row>
    <row r="55" spans="1:8" x14ac:dyDescent="0.35">
      <c r="A55" s="2" t="s">
        <v>404</v>
      </c>
      <c r="B55" s="2" t="s">
        <v>372</v>
      </c>
      <c r="C55" s="3">
        <v>168.16</v>
      </c>
      <c r="D55" s="1">
        <v>190</v>
      </c>
      <c r="E55" t="str">
        <f>VLOOKUP(A55,Sheet2!A:E,5,)</f>
        <v>ALL SEASONS SIR TAJ WHISKEY</v>
      </c>
      <c r="F55" t="s">
        <v>374</v>
      </c>
      <c r="G55" s="3">
        <v>168.16</v>
      </c>
      <c r="H55" s="1">
        <v>190</v>
      </c>
    </row>
    <row r="56" spans="1:8" x14ac:dyDescent="0.35">
      <c r="A56" s="2" t="s">
        <v>404</v>
      </c>
      <c r="B56" s="2" t="s">
        <v>370</v>
      </c>
      <c r="C56" s="3">
        <v>324.45999999999998</v>
      </c>
      <c r="D56" s="1">
        <v>370</v>
      </c>
      <c r="E56" t="str">
        <f>VLOOKUP(A56,Sheet2!A:E,5,)</f>
        <v>ALL SEASONS SIR TAJ WHISKEY</v>
      </c>
      <c r="F56" t="s">
        <v>5</v>
      </c>
      <c r="G56" s="3">
        <v>324.45999999999998</v>
      </c>
      <c r="H56" s="1">
        <v>370</v>
      </c>
    </row>
    <row r="57" spans="1:8" x14ac:dyDescent="0.35">
      <c r="A57" s="2" t="s">
        <v>404</v>
      </c>
      <c r="B57" s="2" t="s">
        <v>369</v>
      </c>
      <c r="C57" s="3">
        <v>628.01</v>
      </c>
      <c r="D57" s="1">
        <v>710</v>
      </c>
      <c r="E57" t="str">
        <f>VLOOKUP(A57,Sheet2!A:E,5,)</f>
        <v>ALL SEASONS SIR TAJ WHISKEY</v>
      </c>
      <c r="F57" t="s">
        <v>4</v>
      </c>
      <c r="G57" s="3">
        <v>628.01</v>
      </c>
      <c r="H57" s="1">
        <v>710</v>
      </c>
    </row>
    <row r="58" spans="1:8" x14ac:dyDescent="0.35">
      <c r="A58" s="2" t="s">
        <v>405</v>
      </c>
      <c r="B58" s="2" t="s">
        <v>368</v>
      </c>
      <c r="C58" s="3">
        <v>158.69</v>
      </c>
      <c r="D58" s="1">
        <v>180</v>
      </c>
      <c r="E58" t="str">
        <f>VLOOKUP(A58,Sheet2!A:E,5,)</f>
        <v>ALL SEASONS WHISKY</v>
      </c>
      <c r="F58" t="s">
        <v>374</v>
      </c>
      <c r="G58" s="3">
        <v>158.69</v>
      </c>
      <c r="H58" s="1">
        <v>180</v>
      </c>
    </row>
    <row r="59" spans="1:8" x14ac:dyDescent="0.35">
      <c r="A59" s="2" t="s">
        <v>405</v>
      </c>
      <c r="B59" s="2" t="s">
        <v>370</v>
      </c>
      <c r="C59" s="3">
        <v>305.58</v>
      </c>
      <c r="D59" s="1">
        <v>350</v>
      </c>
      <c r="E59" t="str">
        <f>VLOOKUP(A59,Sheet2!A:E,5,)</f>
        <v>ALL SEASONS WHISKY</v>
      </c>
      <c r="F59" t="s">
        <v>5</v>
      </c>
      <c r="G59" s="3">
        <v>305.58</v>
      </c>
      <c r="H59" s="1">
        <v>350</v>
      </c>
    </row>
    <row r="60" spans="1:8" x14ac:dyDescent="0.35">
      <c r="A60" s="2" t="s">
        <v>405</v>
      </c>
      <c r="B60" s="2" t="s">
        <v>369</v>
      </c>
      <c r="C60" s="3">
        <v>591.13</v>
      </c>
      <c r="D60" s="1">
        <v>670</v>
      </c>
      <c r="E60" t="str">
        <f>VLOOKUP(A60,Sheet2!A:E,5,)</f>
        <v>ALL SEASONS WHISKY</v>
      </c>
      <c r="F60" t="s">
        <v>4</v>
      </c>
      <c r="G60" s="3">
        <v>591.13</v>
      </c>
      <c r="H60" s="1">
        <v>670</v>
      </c>
    </row>
    <row r="61" spans="1:8" x14ac:dyDescent="0.35">
      <c r="A61" s="2" t="s">
        <v>406</v>
      </c>
      <c r="B61" s="2" t="s">
        <v>367</v>
      </c>
      <c r="C61" s="3">
        <v>2947.51</v>
      </c>
      <c r="D61" s="1">
        <v>3310</v>
      </c>
      <c r="E61" t="str">
        <f>VLOOKUP(A61,Sheet2!A:E,5,)</f>
        <v>ALTAMURA VODKA</v>
      </c>
      <c r="F61" t="s">
        <v>4</v>
      </c>
      <c r="G61" s="3">
        <v>2947.51</v>
      </c>
      <c r="H61" s="1">
        <v>3310</v>
      </c>
    </row>
    <row r="62" spans="1:8" x14ac:dyDescent="0.35">
      <c r="A62" s="2" t="s">
        <v>407</v>
      </c>
      <c r="B62" s="2" t="s">
        <v>370</v>
      </c>
      <c r="C62" s="3">
        <v>1322.4</v>
      </c>
      <c r="D62" s="1">
        <v>1490</v>
      </c>
      <c r="E62" t="str">
        <f>VLOOKUP(A62,Sheet2!A:E,5,)</f>
        <v>AMALFI LIMONCELLO WHISKY</v>
      </c>
      <c r="F62" t="s">
        <v>5</v>
      </c>
      <c r="G62" s="3">
        <v>1322.4</v>
      </c>
      <c r="H62" s="1">
        <v>1490</v>
      </c>
    </row>
    <row r="63" spans="1:8" x14ac:dyDescent="0.35">
      <c r="A63" s="2" t="s">
        <v>408</v>
      </c>
      <c r="B63" s="2" t="s">
        <v>367</v>
      </c>
      <c r="C63" s="3">
        <v>2430.9699999999998</v>
      </c>
      <c r="D63" s="1">
        <v>2730</v>
      </c>
      <c r="E63" t="str">
        <f>VLOOKUP(A63,Sheet2!A:E,5,)</f>
        <v>AMALFI LIMONCELLO WHISKY</v>
      </c>
      <c r="F63" t="s">
        <v>4</v>
      </c>
      <c r="G63" s="3">
        <v>2430.9699999999998</v>
      </c>
      <c r="H63" s="1">
        <v>2730</v>
      </c>
    </row>
    <row r="64" spans="1:8" x14ac:dyDescent="0.35">
      <c r="A64" s="2" t="s">
        <v>409</v>
      </c>
      <c r="B64" s="2" t="s">
        <v>369</v>
      </c>
      <c r="C64" s="3">
        <v>3110</v>
      </c>
      <c r="D64" s="1">
        <v>3490</v>
      </c>
      <c r="E64" t="str">
        <f>VLOOKUP(A64,Sheet2!A:E,5,)</f>
        <v>AMARO MONTENEGRO</v>
      </c>
      <c r="F64" t="s">
        <v>4</v>
      </c>
      <c r="G64" s="3">
        <v>3110</v>
      </c>
      <c r="H64" s="1">
        <v>3490</v>
      </c>
    </row>
    <row r="65" spans="1:8" x14ac:dyDescent="0.35">
      <c r="A65" s="2" t="s">
        <v>410</v>
      </c>
      <c r="B65" s="2" t="s">
        <v>368</v>
      </c>
      <c r="C65" s="3">
        <v>148.75</v>
      </c>
      <c r="D65" s="1">
        <v>170</v>
      </c>
      <c r="E65" t="str">
        <f>VLOOKUP(A65,Sheet2!A:E,5,)</f>
        <v>AMAZING APPLE VODKA</v>
      </c>
      <c r="F65" t="s">
        <v>374</v>
      </c>
      <c r="G65" s="3">
        <v>148.75</v>
      </c>
      <c r="H65" s="1">
        <v>170</v>
      </c>
    </row>
    <row r="66" spans="1:8" x14ac:dyDescent="0.35">
      <c r="A66" s="2" t="s">
        <v>410</v>
      </c>
      <c r="B66" s="2" t="s">
        <v>370</v>
      </c>
      <c r="C66" s="3">
        <v>295.83999999999997</v>
      </c>
      <c r="D66" s="1">
        <v>340</v>
      </c>
      <c r="E66" t="str">
        <f>VLOOKUP(A66,Sheet2!A:E,5,)</f>
        <v>AMAZING APPLE VODKA</v>
      </c>
      <c r="F66" t="s">
        <v>5</v>
      </c>
      <c r="G66" s="3">
        <v>295.83999999999997</v>
      </c>
      <c r="H66" s="1">
        <v>340</v>
      </c>
    </row>
    <row r="67" spans="1:8" x14ac:dyDescent="0.35">
      <c r="A67" s="2" t="s">
        <v>410</v>
      </c>
      <c r="B67" s="2" t="s">
        <v>369</v>
      </c>
      <c r="C67" s="3">
        <v>573.70000000000005</v>
      </c>
      <c r="D67" s="1">
        <v>650</v>
      </c>
      <c r="E67" t="str">
        <f>VLOOKUP(A67,Sheet2!A:E,5,)</f>
        <v>AMAZING APPLE VODKA</v>
      </c>
      <c r="F67" t="s">
        <v>4</v>
      </c>
      <c r="G67" s="3">
        <v>573.70000000000005</v>
      </c>
      <c r="H67" s="1">
        <v>650</v>
      </c>
    </row>
    <row r="68" spans="1:8" x14ac:dyDescent="0.35">
      <c r="A68" s="2" t="s">
        <v>411</v>
      </c>
      <c r="B68" s="2" t="s">
        <v>368</v>
      </c>
      <c r="C68" s="3">
        <v>158.46</v>
      </c>
      <c r="D68" s="1">
        <v>180</v>
      </c>
      <c r="E68" t="str">
        <f>VLOOKUP(A68,Sheet2!A:E,5,)</f>
        <v>AMAZING DELUXE CRAFT WHISKY</v>
      </c>
      <c r="F68" t="s">
        <v>374</v>
      </c>
      <c r="G68" s="3">
        <v>158.46</v>
      </c>
      <c r="H68" s="1">
        <v>180</v>
      </c>
    </row>
    <row r="69" spans="1:8" x14ac:dyDescent="0.35">
      <c r="A69" s="2" t="s">
        <v>13</v>
      </c>
      <c r="B69" s="2" t="s">
        <v>370</v>
      </c>
      <c r="C69" s="3">
        <v>315.12</v>
      </c>
      <c r="D69" s="1">
        <v>360</v>
      </c>
      <c r="E69" t="str">
        <f>VLOOKUP(A69,Sheet2!A:E,5,)</f>
        <v>AMAZING DELUXE CRAFT WHISKY</v>
      </c>
      <c r="F69" t="s">
        <v>5</v>
      </c>
      <c r="G69" s="3">
        <v>315.12</v>
      </c>
      <c r="H69" s="1">
        <v>360</v>
      </c>
    </row>
    <row r="70" spans="1:8" x14ac:dyDescent="0.35">
      <c r="A70" s="2" t="s">
        <v>14</v>
      </c>
      <c r="B70" s="2" t="s">
        <v>369</v>
      </c>
      <c r="C70" s="3">
        <v>610.28</v>
      </c>
      <c r="D70" s="1">
        <v>690</v>
      </c>
      <c r="E70" t="str">
        <f>VLOOKUP(A70,Sheet2!A:E,5,)</f>
        <v>AMAZING DELUXE CRAFT WHISKY</v>
      </c>
      <c r="F70" t="s">
        <v>4</v>
      </c>
      <c r="G70" s="3">
        <v>610.28</v>
      </c>
      <c r="H70" s="1">
        <v>690</v>
      </c>
    </row>
    <row r="71" spans="1:8" x14ac:dyDescent="0.35">
      <c r="A71" s="2" t="s">
        <v>412</v>
      </c>
      <c r="B71" s="2" t="s">
        <v>368</v>
      </c>
      <c r="C71" s="3">
        <v>130.06</v>
      </c>
      <c r="D71" s="1">
        <v>150</v>
      </c>
      <c r="E71" t="str">
        <f>VLOOKUP(A71,Sheet2!A:E,5,)</f>
        <v>AMAZING VODKA</v>
      </c>
      <c r="F71" t="s">
        <v>374</v>
      </c>
      <c r="G71" s="3">
        <v>130.06</v>
      </c>
      <c r="H71" s="1">
        <v>150</v>
      </c>
    </row>
    <row r="72" spans="1:8" x14ac:dyDescent="0.35">
      <c r="A72" s="2" t="s">
        <v>412</v>
      </c>
      <c r="B72" s="2" t="s">
        <v>370</v>
      </c>
      <c r="C72" s="3">
        <v>268.72000000000003</v>
      </c>
      <c r="D72" s="1">
        <v>310</v>
      </c>
      <c r="E72" t="str">
        <f>VLOOKUP(A72,Sheet2!A:E,5,)</f>
        <v>AMAZING VODKA</v>
      </c>
      <c r="F72" t="s">
        <v>5</v>
      </c>
      <c r="G72" s="3">
        <v>268.72000000000003</v>
      </c>
      <c r="H72" s="1">
        <v>310</v>
      </c>
    </row>
    <row r="73" spans="1:8" x14ac:dyDescent="0.35">
      <c r="A73" s="2" t="s">
        <v>412</v>
      </c>
      <c r="B73" s="2" t="s">
        <v>369</v>
      </c>
      <c r="C73" s="3">
        <v>518.92999999999995</v>
      </c>
      <c r="D73" s="1">
        <v>590</v>
      </c>
      <c r="E73" t="str">
        <f>VLOOKUP(A73,Sheet2!A:E,5,)</f>
        <v>AMAZING VODKA</v>
      </c>
      <c r="F73" t="s">
        <v>4</v>
      </c>
      <c r="G73" s="3">
        <v>518.92999999999995</v>
      </c>
      <c r="H73" s="1">
        <v>590</v>
      </c>
    </row>
    <row r="74" spans="1:8" x14ac:dyDescent="0.35">
      <c r="A74" s="2" t="s">
        <v>15</v>
      </c>
      <c r="B74" s="2" t="s">
        <v>367</v>
      </c>
      <c r="C74" s="3">
        <v>2532.0100000000002</v>
      </c>
      <c r="D74" s="1">
        <v>2840</v>
      </c>
      <c r="E74" t="str">
        <f>VLOOKUP(A74,Sheet2!A:E,5,)</f>
        <v>AMG SMOOTH/CARVON</v>
      </c>
      <c r="F74" t="s">
        <v>4</v>
      </c>
      <c r="G74" s="3">
        <v>2532.0100000000002</v>
      </c>
      <c r="H74" s="1">
        <v>2840</v>
      </c>
    </row>
    <row r="75" spans="1:8" x14ac:dyDescent="0.35">
      <c r="A75" s="2" t="s">
        <v>413</v>
      </c>
      <c r="B75" s="2" t="s">
        <v>369</v>
      </c>
      <c r="C75" s="3">
        <v>3670.95</v>
      </c>
      <c r="D75" s="1">
        <v>4120</v>
      </c>
      <c r="E75" t="str">
        <f>VLOOKUP(A75,Sheet2!A:E,5,)</f>
        <v>AMRULA CREAM WITH MARULA SPRIT</v>
      </c>
      <c r="F75" t="s">
        <v>4</v>
      </c>
      <c r="G75" s="3">
        <v>3670.95</v>
      </c>
      <c r="H75" s="1">
        <v>4120</v>
      </c>
    </row>
    <row r="76" spans="1:8" x14ac:dyDescent="0.35">
      <c r="A76" s="2" t="s">
        <v>414</v>
      </c>
      <c r="B76" s="2" t="s">
        <v>372</v>
      </c>
      <c r="C76" s="3">
        <v>253.7</v>
      </c>
      <c r="D76" s="1">
        <v>290</v>
      </c>
      <c r="E76" t="str">
        <f>VLOOKUP(A76,Sheet2!A:E,5,)</f>
        <v>AMRUT MAQINTOSH WHISKY</v>
      </c>
      <c r="F76" t="s">
        <v>374</v>
      </c>
      <c r="G76" s="3">
        <v>253.7</v>
      </c>
      <c r="H76" s="1">
        <v>290</v>
      </c>
    </row>
    <row r="77" spans="1:8" x14ac:dyDescent="0.35">
      <c r="A77" s="2" t="s">
        <v>415</v>
      </c>
      <c r="B77" s="2" t="s">
        <v>370</v>
      </c>
      <c r="C77" s="3">
        <v>505.02</v>
      </c>
      <c r="D77" s="1">
        <v>570</v>
      </c>
      <c r="E77" t="str">
        <f>VLOOKUP(A77,Sheet2!A:E,5,)</f>
        <v>AMRUT MAQINTOSH WHISKY</v>
      </c>
      <c r="F77" t="s">
        <v>5</v>
      </c>
      <c r="G77" s="3">
        <v>505.02</v>
      </c>
      <c r="H77" s="1">
        <v>570</v>
      </c>
    </row>
    <row r="78" spans="1:8" x14ac:dyDescent="0.35">
      <c r="A78" s="2" t="s">
        <v>416</v>
      </c>
      <c r="B78" s="2" t="s">
        <v>369</v>
      </c>
      <c r="C78" s="3">
        <v>990.03</v>
      </c>
      <c r="D78" s="1">
        <v>1110</v>
      </c>
      <c r="E78" t="str">
        <f>VLOOKUP(A78,Sheet2!A:E,5,)</f>
        <v>AMRUT MAQINTOSH WHISKY</v>
      </c>
      <c r="F78" t="s">
        <v>4</v>
      </c>
      <c r="G78" s="3">
        <v>990.03</v>
      </c>
      <c r="H78" s="1">
        <v>1110</v>
      </c>
    </row>
    <row r="79" spans="1:8" x14ac:dyDescent="0.35">
      <c r="A79" s="2" t="s">
        <v>417</v>
      </c>
      <c r="B79" s="2" t="s">
        <v>372</v>
      </c>
      <c r="C79" s="3">
        <v>129.97</v>
      </c>
      <c r="D79" s="1">
        <v>150</v>
      </c>
      <c r="E79" t="str">
        <f>VLOOKUP(A79,Sheet2!A:E,5,)</f>
        <v>AMRUT PRESTIGE GREEN WHSKY</v>
      </c>
      <c r="F79" t="s">
        <v>374</v>
      </c>
      <c r="G79" s="3">
        <v>129.97</v>
      </c>
      <c r="H79" s="1">
        <v>150</v>
      </c>
    </row>
    <row r="80" spans="1:8" x14ac:dyDescent="0.35">
      <c r="A80" s="2" t="s">
        <v>417</v>
      </c>
      <c r="B80" s="2" t="s">
        <v>370</v>
      </c>
      <c r="C80" s="3">
        <v>268.2</v>
      </c>
      <c r="D80" s="1">
        <v>310</v>
      </c>
      <c r="E80" t="str">
        <f>VLOOKUP(A80,Sheet2!A:E,5,)</f>
        <v>AMRUT PRESTIGE GREEN WHSKY</v>
      </c>
      <c r="F80" t="s">
        <v>5</v>
      </c>
      <c r="G80" s="3">
        <v>268.2</v>
      </c>
      <c r="H80" s="1">
        <v>310</v>
      </c>
    </row>
    <row r="81" spans="1:8" x14ac:dyDescent="0.35">
      <c r="A81" s="2" t="s">
        <v>417</v>
      </c>
      <c r="B81" s="2" t="s">
        <v>369</v>
      </c>
      <c r="C81" s="3">
        <v>516.4</v>
      </c>
      <c r="D81" s="1">
        <v>580</v>
      </c>
      <c r="E81" t="str">
        <f>VLOOKUP(A81,Sheet2!A:E,5,)</f>
        <v>AMRUT PRESTIGE GREEN WHSKY</v>
      </c>
      <c r="F81" t="s">
        <v>4</v>
      </c>
      <c r="G81" s="3">
        <v>516.4</v>
      </c>
      <c r="H81" s="1">
        <v>580</v>
      </c>
    </row>
    <row r="82" spans="1:8" x14ac:dyDescent="0.35">
      <c r="A82" s="2" t="s">
        <v>418</v>
      </c>
      <c r="B82" s="2" t="s">
        <v>368</v>
      </c>
      <c r="C82" s="3">
        <v>225.3</v>
      </c>
      <c r="D82" s="1">
        <v>260</v>
      </c>
      <c r="E82" t="str">
        <f>VLOOKUP(A82,Sheet2!A:E,5,)</f>
        <v>ANTIQUITY BLUE WHISKY</v>
      </c>
      <c r="F82" t="s">
        <v>374</v>
      </c>
      <c r="G82" s="3">
        <v>225.3</v>
      </c>
      <c r="H82" s="1">
        <v>260</v>
      </c>
    </row>
    <row r="83" spans="1:8" x14ac:dyDescent="0.35">
      <c r="A83" s="2" t="s">
        <v>16</v>
      </c>
      <c r="B83" s="2" t="s">
        <v>370</v>
      </c>
      <c r="C83" s="3">
        <v>438.63</v>
      </c>
      <c r="D83" s="1">
        <v>500</v>
      </c>
      <c r="E83" t="str">
        <f>VLOOKUP(A83,Sheet2!A:E,5,)</f>
        <v>ANTIQUITY BLUE WHISKY</v>
      </c>
      <c r="F83" t="s">
        <v>5</v>
      </c>
      <c r="G83" s="3">
        <v>438.63</v>
      </c>
      <c r="H83" s="1">
        <v>500</v>
      </c>
    </row>
    <row r="84" spans="1:8" x14ac:dyDescent="0.35">
      <c r="A84" s="2" t="s">
        <v>418</v>
      </c>
      <c r="B84" s="2" t="s">
        <v>369</v>
      </c>
      <c r="C84" s="3">
        <v>857.23</v>
      </c>
      <c r="D84" s="1">
        <v>970</v>
      </c>
      <c r="E84" t="str">
        <f>VLOOKUP(A84,Sheet2!A:E,5,)</f>
        <v>ANTIQUITY BLUE WHISKY</v>
      </c>
      <c r="F84" t="s">
        <v>4</v>
      </c>
      <c r="G84" s="3">
        <v>857.23</v>
      </c>
      <c r="H84" s="1">
        <v>970</v>
      </c>
    </row>
    <row r="85" spans="1:8" x14ac:dyDescent="0.35">
      <c r="A85" s="2" t="s">
        <v>419</v>
      </c>
      <c r="B85" s="2" t="s">
        <v>371</v>
      </c>
      <c r="C85" s="3">
        <v>121.08</v>
      </c>
      <c r="D85" s="1">
        <v>140</v>
      </c>
      <c r="E85" t="str">
        <f>VLOOKUP(A85,Sheet2!A:E,5,)</f>
        <v>ANTIQUITY BLUE WHISKY</v>
      </c>
      <c r="F85" t="s">
        <v>376</v>
      </c>
      <c r="G85" s="3">
        <v>121.08</v>
      </c>
      <c r="H85" s="1">
        <v>140</v>
      </c>
    </row>
    <row r="86" spans="1:8" x14ac:dyDescent="0.35">
      <c r="A86" s="2" t="s">
        <v>420</v>
      </c>
      <c r="B86" s="2" t="s">
        <v>367</v>
      </c>
      <c r="C86" s="3">
        <v>1627.97</v>
      </c>
      <c r="D86" s="1">
        <v>1830</v>
      </c>
      <c r="E86" t="str">
        <f>VLOOKUP(A86,Sheet2!A:E,5,)</f>
        <v>ANTONAV VODKA</v>
      </c>
      <c r="F86" t="s">
        <v>4</v>
      </c>
      <c r="G86" s="3">
        <v>1627.97</v>
      </c>
      <c r="H86" s="1">
        <v>1830</v>
      </c>
    </row>
    <row r="87" spans="1:8" x14ac:dyDescent="0.35">
      <c r="A87" s="2" t="s">
        <v>17</v>
      </c>
      <c r="B87" s="2" t="s">
        <v>367</v>
      </c>
      <c r="C87" s="3">
        <v>2017.92</v>
      </c>
      <c r="D87" s="1">
        <v>2270</v>
      </c>
      <c r="E87" t="str">
        <f>VLOOKUP(A87,Sheet2!A:E,5,)</f>
        <v>APEROL</v>
      </c>
      <c r="F87" t="s">
        <v>4</v>
      </c>
      <c r="G87" s="3">
        <v>2017.92</v>
      </c>
      <c r="H87" s="1">
        <v>2270</v>
      </c>
    </row>
    <row r="88" spans="1:8" x14ac:dyDescent="0.35">
      <c r="A88" s="2" t="s">
        <v>421</v>
      </c>
      <c r="B88" s="2" t="s">
        <v>369</v>
      </c>
      <c r="C88" s="3">
        <v>3279.34</v>
      </c>
      <c r="D88" s="1">
        <v>3680</v>
      </c>
      <c r="E88" t="str">
        <f>VLOOKUP(A88,Sheet2!A:E,5,)</f>
        <v>APPLETON ESTATE JAMAICA RUM 12 Y</v>
      </c>
      <c r="F88" t="s">
        <v>4</v>
      </c>
      <c r="G88" s="3">
        <v>3279.34</v>
      </c>
      <c r="H88" s="1">
        <v>3680</v>
      </c>
    </row>
    <row r="89" spans="1:8" x14ac:dyDescent="0.35">
      <c r="A89" s="2" t="s">
        <v>422</v>
      </c>
      <c r="B89" s="2" t="s">
        <v>367</v>
      </c>
      <c r="C89" s="3">
        <v>4289.2</v>
      </c>
      <c r="D89" s="1">
        <v>4810</v>
      </c>
      <c r="E89" t="str">
        <f>VLOOKUP(A89,Sheet2!A:E,5,)</f>
        <v>AQVA DI GIN FLORA/CITRUS</v>
      </c>
      <c r="F89" t="s">
        <v>4</v>
      </c>
      <c r="G89" s="3">
        <v>4289.2</v>
      </c>
      <c r="H89" s="1">
        <v>4810</v>
      </c>
    </row>
    <row r="90" spans="1:8" x14ac:dyDescent="0.35">
      <c r="A90" s="2" t="s">
        <v>423</v>
      </c>
      <c r="B90" s="2" t="s">
        <v>369</v>
      </c>
      <c r="C90" s="3">
        <v>3210.51</v>
      </c>
      <c r="D90" s="1">
        <v>3600</v>
      </c>
      <c r="E90" t="str">
        <f>VLOOKUP(A90,Sheet2!A:E,5,)</f>
        <v>ARTHAUS COLLECTIVE BLEND MALT</v>
      </c>
      <c r="F90" t="s">
        <v>4</v>
      </c>
      <c r="G90" s="3">
        <v>3210.51</v>
      </c>
      <c r="H90" s="1">
        <v>3600</v>
      </c>
    </row>
    <row r="91" spans="1:8" x14ac:dyDescent="0.35">
      <c r="A91" s="2" t="s">
        <v>424</v>
      </c>
      <c r="B91" s="2" t="s">
        <v>368</v>
      </c>
      <c r="C91" s="3">
        <v>182.21</v>
      </c>
      <c r="D91" s="1">
        <v>210</v>
      </c>
      <c r="E91" t="str">
        <f>VLOOKUP(A91,Sheet2!A:E,5,)</f>
        <v>ARTIC CRANBERRY</v>
      </c>
      <c r="F91" t="s">
        <v>374</v>
      </c>
      <c r="G91" s="3">
        <v>182.21</v>
      </c>
      <c r="H91" s="1">
        <v>210</v>
      </c>
    </row>
    <row r="92" spans="1:8" x14ac:dyDescent="0.35">
      <c r="A92" s="2" t="s">
        <v>425</v>
      </c>
      <c r="B92" s="2" t="s">
        <v>370</v>
      </c>
      <c r="C92" s="3">
        <v>358.15</v>
      </c>
      <c r="D92" s="1">
        <v>410</v>
      </c>
      <c r="E92" t="str">
        <f>VLOOKUP(A92,Sheet2!A:E,5,)</f>
        <v>ARTIC CRANBERRY</v>
      </c>
      <c r="F92" t="s">
        <v>5</v>
      </c>
      <c r="G92" s="3">
        <v>358.15</v>
      </c>
      <c r="H92" s="1">
        <v>410</v>
      </c>
    </row>
    <row r="93" spans="1:8" x14ac:dyDescent="0.35">
      <c r="A93" s="2" t="s">
        <v>426</v>
      </c>
      <c r="B93" s="2" t="s">
        <v>369</v>
      </c>
      <c r="C93" s="3">
        <v>701.36</v>
      </c>
      <c r="D93" s="1">
        <v>790</v>
      </c>
      <c r="E93" t="str">
        <f>VLOOKUP(A93,Sheet2!A:E,5,)</f>
        <v>ARTIC CRANBERRY</v>
      </c>
      <c r="F93" t="s">
        <v>4</v>
      </c>
      <c r="G93" s="3">
        <v>701.36</v>
      </c>
      <c r="H93" s="1">
        <v>790</v>
      </c>
    </row>
    <row r="94" spans="1:8" x14ac:dyDescent="0.35">
      <c r="A94" s="2" t="s">
        <v>427</v>
      </c>
      <c r="B94" s="2" t="s">
        <v>368</v>
      </c>
      <c r="C94" s="3">
        <v>168.54</v>
      </c>
      <c r="D94" s="1">
        <v>190</v>
      </c>
      <c r="E94" t="str">
        <f>VLOOKUP(A94,Sheet2!A:E,5,)</f>
        <v>ARTIC PREMIUM VODKA</v>
      </c>
      <c r="F94" t="s">
        <v>374</v>
      </c>
      <c r="G94" s="3">
        <v>168.54</v>
      </c>
      <c r="H94" s="1">
        <v>190</v>
      </c>
    </row>
    <row r="95" spans="1:8" x14ac:dyDescent="0.35">
      <c r="A95" s="2" t="s">
        <v>427</v>
      </c>
      <c r="B95" s="2" t="s">
        <v>370</v>
      </c>
      <c r="C95" s="3">
        <v>333.97</v>
      </c>
      <c r="D95" s="1">
        <v>380</v>
      </c>
      <c r="E95" t="str">
        <f>VLOOKUP(A95,Sheet2!A:E,5,)</f>
        <v>ARTIC PREMIUM VODKA</v>
      </c>
      <c r="F95" t="s">
        <v>5</v>
      </c>
      <c r="G95" s="3">
        <v>333.97</v>
      </c>
      <c r="H95" s="1">
        <v>380</v>
      </c>
    </row>
    <row r="96" spans="1:8" x14ac:dyDescent="0.35">
      <c r="A96" s="2" t="s">
        <v>427</v>
      </c>
      <c r="B96" s="2" t="s">
        <v>369</v>
      </c>
      <c r="C96" s="3">
        <v>657.24</v>
      </c>
      <c r="D96" s="1">
        <v>740</v>
      </c>
      <c r="E96" t="str">
        <f>VLOOKUP(A96,Sheet2!A:E,5,)</f>
        <v>ARTIC PREMIUM VODKA</v>
      </c>
      <c r="F96" t="s">
        <v>4</v>
      </c>
      <c r="G96" s="3">
        <v>657.24</v>
      </c>
      <c r="H96" s="1">
        <v>740</v>
      </c>
    </row>
    <row r="97" spans="1:8" x14ac:dyDescent="0.35">
      <c r="A97" s="2" t="s">
        <v>428</v>
      </c>
      <c r="B97" s="2" t="s">
        <v>368</v>
      </c>
      <c r="C97" s="3">
        <v>168.15</v>
      </c>
      <c r="D97" s="1">
        <v>190</v>
      </c>
      <c r="E97" t="str">
        <f>VLOOKUP(A97,Sheet2!A:E,5,)</f>
        <v>ARTIC PREMIUM VODKA GREEN APPLE</v>
      </c>
      <c r="F97" t="s">
        <v>374</v>
      </c>
      <c r="G97" s="3">
        <v>168.15</v>
      </c>
      <c r="H97" s="1">
        <v>190</v>
      </c>
    </row>
    <row r="98" spans="1:8" x14ac:dyDescent="0.35">
      <c r="A98" s="2" t="s">
        <v>428</v>
      </c>
      <c r="B98" s="2" t="s">
        <v>370</v>
      </c>
      <c r="C98" s="3">
        <v>334.46</v>
      </c>
      <c r="D98" s="1">
        <v>380</v>
      </c>
      <c r="E98" t="str">
        <f>VLOOKUP(A98,Sheet2!A:E,5,)</f>
        <v>ARTIC PREMIUM VODKA GREEN APPLE</v>
      </c>
      <c r="F98" t="s">
        <v>5</v>
      </c>
      <c r="G98" s="3">
        <v>334.46</v>
      </c>
      <c r="H98" s="1">
        <v>380</v>
      </c>
    </row>
    <row r="99" spans="1:8" x14ac:dyDescent="0.35">
      <c r="A99" s="2" t="s">
        <v>428</v>
      </c>
      <c r="B99" s="2" t="s">
        <v>369</v>
      </c>
      <c r="C99" s="3">
        <v>656.97</v>
      </c>
      <c r="D99" s="1">
        <v>740</v>
      </c>
      <c r="E99" t="str">
        <f>VLOOKUP(A99,Sheet2!A:E,5,)</f>
        <v>ARTIC PREMIUM VODKA GREEN APPLE</v>
      </c>
      <c r="F99" t="s">
        <v>4</v>
      </c>
      <c r="G99" s="3">
        <v>656.97</v>
      </c>
      <c r="H99" s="1">
        <v>740</v>
      </c>
    </row>
    <row r="100" spans="1:8" x14ac:dyDescent="0.35">
      <c r="A100" s="2" t="s">
        <v>429</v>
      </c>
      <c r="B100" s="2" t="s">
        <v>368</v>
      </c>
      <c r="C100" s="3">
        <v>177.62</v>
      </c>
      <c r="D100" s="1">
        <v>200</v>
      </c>
      <c r="E100" t="str">
        <f>VLOOKUP(A100,Sheet2!A:E,5,)</f>
        <v>ARTIC RIPE CRANBERRY</v>
      </c>
      <c r="F100" t="s">
        <v>374</v>
      </c>
      <c r="G100" s="3">
        <v>177.62</v>
      </c>
      <c r="H100" s="1">
        <v>200</v>
      </c>
    </row>
    <row r="101" spans="1:8" x14ac:dyDescent="0.35">
      <c r="A101" s="2" t="s">
        <v>430</v>
      </c>
      <c r="B101" s="2" t="s">
        <v>370</v>
      </c>
      <c r="C101" s="3">
        <v>353.16</v>
      </c>
      <c r="D101" s="1">
        <v>400</v>
      </c>
      <c r="E101" t="str">
        <f>VLOOKUP(A101,Sheet2!A:E,5,)</f>
        <v>ARTIC RIPE CRANBERRY</v>
      </c>
      <c r="F101" t="s">
        <v>5</v>
      </c>
      <c r="G101" s="3">
        <v>353.16</v>
      </c>
      <c r="H101" s="1">
        <v>400</v>
      </c>
    </row>
    <row r="102" spans="1:8" x14ac:dyDescent="0.35">
      <c r="A102" s="2" t="s">
        <v>431</v>
      </c>
      <c r="B102" s="2" t="s">
        <v>369</v>
      </c>
      <c r="C102" s="3">
        <v>696.77</v>
      </c>
      <c r="D102" s="1">
        <v>790</v>
      </c>
      <c r="E102" t="str">
        <f>VLOOKUP(A102,Sheet2!A:E,5,)</f>
        <v>ARTIC RIPE CRANBERRY</v>
      </c>
      <c r="F102" t="s">
        <v>4</v>
      </c>
      <c r="G102" s="3">
        <v>696.77</v>
      </c>
      <c r="H102" s="1">
        <v>790</v>
      </c>
    </row>
    <row r="103" spans="1:8" x14ac:dyDescent="0.35">
      <c r="A103" s="2" t="s">
        <v>432</v>
      </c>
      <c r="B103" s="2" t="s">
        <v>368</v>
      </c>
      <c r="C103" s="3">
        <v>158.66999999999999</v>
      </c>
      <c r="D103" s="1">
        <v>180</v>
      </c>
      <c r="E103" t="str">
        <f>VLOOKUP(A103,Sheet2!A:E,5,)</f>
        <v>B-7 SPECIAL BLENDED</v>
      </c>
      <c r="F103" t="s">
        <v>374</v>
      </c>
      <c r="G103" s="3">
        <v>158.66999999999999</v>
      </c>
      <c r="H103" s="1">
        <v>180</v>
      </c>
    </row>
    <row r="104" spans="1:8" x14ac:dyDescent="0.35">
      <c r="A104" s="2" t="s">
        <v>432</v>
      </c>
      <c r="B104" s="2" t="s">
        <v>370</v>
      </c>
      <c r="C104" s="3">
        <v>305.56</v>
      </c>
      <c r="D104" s="1">
        <v>350</v>
      </c>
      <c r="E104" t="str">
        <f>VLOOKUP(A104,Sheet2!A:E,5,)</f>
        <v>B-7 SPECIAL BLENDED</v>
      </c>
      <c r="F104" t="s">
        <v>5</v>
      </c>
      <c r="G104" s="3">
        <v>305.56</v>
      </c>
      <c r="H104" s="1">
        <v>350</v>
      </c>
    </row>
    <row r="105" spans="1:8" x14ac:dyDescent="0.35">
      <c r="A105" s="2" t="s">
        <v>432</v>
      </c>
      <c r="B105" s="2" t="s">
        <v>369</v>
      </c>
      <c r="C105" s="3">
        <v>591.11</v>
      </c>
      <c r="D105" s="1">
        <v>670</v>
      </c>
      <c r="E105" t="str">
        <f>VLOOKUP(A105,Sheet2!A:E,5,)</f>
        <v>B-7 SPECIAL BLENDED</v>
      </c>
      <c r="F105" t="s">
        <v>4</v>
      </c>
      <c r="G105" s="3">
        <v>591.11</v>
      </c>
      <c r="H105" s="1">
        <v>670</v>
      </c>
    </row>
    <row r="106" spans="1:8" x14ac:dyDescent="0.35">
      <c r="A106" s="2" t="s">
        <v>433</v>
      </c>
      <c r="B106" s="2" t="s">
        <v>368</v>
      </c>
      <c r="C106" s="3">
        <v>139.63999999999999</v>
      </c>
      <c r="D106" s="1">
        <v>160</v>
      </c>
      <c r="E106" t="str">
        <f>VLOOKUP(A106,Sheet2!A:E,5,)</f>
        <v>BACARDI BLACK CLASSIC RUM</v>
      </c>
      <c r="F106" t="s">
        <v>374</v>
      </c>
      <c r="G106" s="3">
        <v>139.63999999999999</v>
      </c>
      <c r="H106" s="1">
        <v>160</v>
      </c>
    </row>
    <row r="107" spans="1:8" x14ac:dyDescent="0.35">
      <c r="A107" s="2" t="s">
        <v>433</v>
      </c>
      <c r="B107" s="2" t="s">
        <v>370</v>
      </c>
      <c r="C107" s="3">
        <v>277.55</v>
      </c>
      <c r="D107" s="1">
        <v>320</v>
      </c>
      <c r="E107" t="str">
        <f>VLOOKUP(A107,Sheet2!A:E,5,)</f>
        <v>BACARDI BLACK CLASSIC RUM</v>
      </c>
      <c r="F107" t="s">
        <v>5</v>
      </c>
      <c r="G107" s="3">
        <v>277.55</v>
      </c>
      <c r="H107" s="1">
        <v>320</v>
      </c>
    </row>
    <row r="108" spans="1:8" x14ac:dyDescent="0.35">
      <c r="A108" s="2" t="s">
        <v>433</v>
      </c>
      <c r="B108" s="2" t="s">
        <v>369</v>
      </c>
      <c r="C108" s="3">
        <v>535.08000000000004</v>
      </c>
      <c r="D108" s="1">
        <v>600</v>
      </c>
      <c r="E108" t="str">
        <f>VLOOKUP(A108,Sheet2!A:E,5,)</f>
        <v>BACARDI BLACK CLASSIC RUM</v>
      </c>
      <c r="F108" t="s">
        <v>4</v>
      </c>
      <c r="G108" s="3">
        <v>535.08000000000004</v>
      </c>
      <c r="H108" s="1">
        <v>600</v>
      </c>
    </row>
    <row r="109" spans="1:8" x14ac:dyDescent="0.35">
      <c r="A109" s="2" t="s">
        <v>434</v>
      </c>
      <c r="B109" s="2" t="s">
        <v>368</v>
      </c>
      <c r="C109" s="3">
        <v>177.38</v>
      </c>
      <c r="D109" s="1">
        <v>200</v>
      </c>
      <c r="E109" t="str">
        <f>VLOOKUP(A109,Sheet2!A:E,5,)</f>
        <v>BACARDI CB WHITE</v>
      </c>
      <c r="F109" t="s">
        <v>374</v>
      </c>
      <c r="G109" s="3">
        <v>177.38</v>
      </c>
      <c r="H109" s="1">
        <v>200</v>
      </c>
    </row>
    <row r="110" spans="1:8" x14ac:dyDescent="0.35">
      <c r="A110" s="2" t="s">
        <v>434</v>
      </c>
      <c r="B110" s="2" t="s">
        <v>370</v>
      </c>
      <c r="C110" s="3">
        <v>352.94</v>
      </c>
      <c r="D110" s="1">
        <v>400</v>
      </c>
      <c r="E110" t="str">
        <f>VLOOKUP(A110,Sheet2!A:E,5,)</f>
        <v>BACARDI CB WHITE</v>
      </c>
      <c r="F110" t="s">
        <v>5</v>
      </c>
      <c r="G110" s="3">
        <v>352.94</v>
      </c>
      <c r="H110" s="1">
        <v>400</v>
      </c>
    </row>
    <row r="111" spans="1:8" x14ac:dyDescent="0.35">
      <c r="A111" s="2" t="s">
        <v>434</v>
      </c>
      <c r="B111" s="2" t="s">
        <v>369</v>
      </c>
      <c r="C111" s="3">
        <v>695.19</v>
      </c>
      <c r="D111" s="1">
        <v>780</v>
      </c>
      <c r="E111" t="str">
        <f>VLOOKUP(A111,Sheet2!A:E,5,)</f>
        <v>BACARDI CB WHITE</v>
      </c>
      <c r="F111" t="s">
        <v>4</v>
      </c>
      <c r="G111" s="3">
        <v>695.19</v>
      </c>
      <c r="H111" s="1">
        <v>780</v>
      </c>
    </row>
    <row r="112" spans="1:8" x14ac:dyDescent="0.35">
      <c r="A112" s="2" t="s">
        <v>18</v>
      </c>
      <c r="B112" s="2" t="s">
        <v>368</v>
      </c>
      <c r="C112" s="3">
        <v>186.8</v>
      </c>
      <c r="D112" s="1">
        <v>210</v>
      </c>
      <c r="E112" t="str">
        <f>VLOOKUP(A112,Sheet2!A:E,5,)</f>
        <v>BACARDI LIMON SUPER CLASSIC</v>
      </c>
      <c r="F112" t="s">
        <v>374</v>
      </c>
      <c r="G112" s="3">
        <v>186.8</v>
      </c>
      <c r="H112" s="1">
        <v>210</v>
      </c>
    </row>
    <row r="113" spans="1:8" x14ac:dyDescent="0.35">
      <c r="A113" s="2" t="s">
        <v>19</v>
      </c>
      <c r="B113" s="2" t="s">
        <v>370</v>
      </c>
      <c r="C113" s="3">
        <v>371.62</v>
      </c>
      <c r="D113" s="1">
        <v>420</v>
      </c>
      <c r="E113" t="str">
        <f>VLOOKUP(A113,Sheet2!A:E,5,)</f>
        <v>BACARDI LIMON SUPER CLASSIC</v>
      </c>
      <c r="F113" t="s">
        <v>5</v>
      </c>
      <c r="G113" s="3">
        <v>371.62</v>
      </c>
      <c r="H113" s="1">
        <v>420</v>
      </c>
    </row>
    <row r="114" spans="1:8" x14ac:dyDescent="0.35">
      <c r="A114" s="2" t="s">
        <v>20</v>
      </c>
      <c r="B114" s="2" t="s">
        <v>369</v>
      </c>
      <c r="C114" s="3">
        <v>733.24</v>
      </c>
      <c r="D114" s="1">
        <v>830</v>
      </c>
      <c r="E114" t="str">
        <f>VLOOKUP(A114,Sheet2!A:E,5,)</f>
        <v>BACARDI LIMON SUPER CLASSIC</v>
      </c>
      <c r="F114" t="s">
        <v>4</v>
      </c>
      <c r="G114" s="3">
        <v>733.24</v>
      </c>
      <c r="H114" s="1">
        <v>830</v>
      </c>
    </row>
    <row r="115" spans="1:8" x14ac:dyDescent="0.35">
      <c r="A115" s="2" t="s">
        <v>435</v>
      </c>
      <c r="B115" s="2" t="s">
        <v>368</v>
      </c>
      <c r="C115" s="3">
        <v>102.94</v>
      </c>
      <c r="D115" s="1">
        <v>120</v>
      </c>
      <c r="E115" t="str">
        <f>VLOOKUP(A115,Sheet2!A:E,5,)</f>
        <v>BAGPIPER SUPERIOR WHISKY</v>
      </c>
      <c r="F115" t="s">
        <v>374</v>
      </c>
      <c r="G115" s="3">
        <v>102.94</v>
      </c>
      <c r="H115" s="1">
        <v>120</v>
      </c>
    </row>
    <row r="116" spans="1:8" x14ac:dyDescent="0.35">
      <c r="A116" s="2" t="s">
        <v>435</v>
      </c>
      <c r="B116" s="2" t="s">
        <v>370</v>
      </c>
      <c r="C116" s="3">
        <v>204.04</v>
      </c>
      <c r="D116" s="1">
        <v>230</v>
      </c>
      <c r="E116" t="str">
        <f>VLOOKUP(A116,Sheet2!A:E,5,)</f>
        <v>BAGPIPER SUPERIOR WHISKY</v>
      </c>
      <c r="F116" t="s">
        <v>5</v>
      </c>
      <c r="G116" s="3">
        <v>204.04</v>
      </c>
      <c r="H116" s="1">
        <v>230</v>
      </c>
    </row>
    <row r="117" spans="1:8" x14ac:dyDescent="0.35">
      <c r="A117" s="2" t="s">
        <v>435</v>
      </c>
      <c r="B117" s="2" t="s">
        <v>369</v>
      </c>
      <c r="C117" s="3">
        <v>388.07</v>
      </c>
      <c r="D117" s="1">
        <v>440</v>
      </c>
      <c r="E117" t="str">
        <f>VLOOKUP(A117,Sheet2!A:E,5,)</f>
        <v>BAGPIPER SUPERIOR WHISKY</v>
      </c>
      <c r="F117" t="s">
        <v>4</v>
      </c>
      <c r="G117" s="3">
        <v>388.07</v>
      </c>
      <c r="H117" s="1">
        <v>440</v>
      </c>
    </row>
    <row r="118" spans="1:8" x14ac:dyDescent="0.35">
      <c r="A118" s="2" t="s">
        <v>436</v>
      </c>
      <c r="B118" s="2" t="s">
        <v>369</v>
      </c>
      <c r="C118" s="3">
        <v>2452.87</v>
      </c>
      <c r="D118" s="1">
        <v>2750</v>
      </c>
      <c r="E118" t="str">
        <f>VLOOKUP(A118,Sheet2!A:E,5,)</f>
        <v>BAILEYS THE ORIGINAL IRISH</v>
      </c>
      <c r="F118" t="s">
        <v>4</v>
      </c>
      <c r="G118" s="3">
        <v>2452.87</v>
      </c>
      <c r="H118" s="1">
        <v>2750</v>
      </c>
    </row>
    <row r="119" spans="1:8" x14ac:dyDescent="0.35">
      <c r="A119" s="2" t="s">
        <v>21</v>
      </c>
      <c r="B119" s="2" t="s">
        <v>368</v>
      </c>
      <c r="C119" s="3">
        <v>452.98</v>
      </c>
      <c r="D119" s="1">
        <v>510</v>
      </c>
      <c r="E119" t="str">
        <f>VLOOKUP(A119,Sheet2!A:E,5,)</f>
        <v>BALLANTINE FINEST SCOTCH WHISKY</v>
      </c>
      <c r="F119" t="s">
        <v>374</v>
      </c>
      <c r="G119" s="3">
        <v>452.98</v>
      </c>
      <c r="H119" s="1">
        <v>510</v>
      </c>
    </row>
    <row r="120" spans="1:8" x14ac:dyDescent="0.35">
      <c r="A120" s="2" t="s">
        <v>22</v>
      </c>
      <c r="B120" s="2" t="s">
        <v>372</v>
      </c>
      <c r="C120" s="3">
        <v>199.53</v>
      </c>
      <c r="D120" s="1">
        <v>230</v>
      </c>
      <c r="E120" t="str">
        <f>VLOOKUP(A120,Sheet2!A:E,5,)</f>
        <v>BALLANTINE FINEST SCOTCH WHISKY</v>
      </c>
      <c r="F120" t="s">
        <v>374</v>
      </c>
      <c r="G120" s="3">
        <v>199.53</v>
      </c>
      <c r="H120" s="1">
        <v>230</v>
      </c>
    </row>
    <row r="121" spans="1:8" x14ac:dyDescent="0.35">
      <c r="A121" s="2" t="s">
        <v>23</v>
      </c>
      <c r="B121" s="2" t="s">
        <v>369</v>
      </c>
      <c r="C121" s="3">
        <v>1619.03</v>
      </c>
      <c r="D121" s="1">
        <v>1820</v>
      </c>
      <c r="E121" t="str">
        <f>VLOOKUP(A121,Sheet2!A:E,5,)</f>
        <v>BALLANTINE FINEST SCOTCH WHISKY</v>
      </c>
      <c r="F121" t="s">
        <v>4</v>
      </c>
      <c r="G121" s="3">
        <v>1619.03</v>
      </c>
      <c r="H121" s="1">
        <v>1820</v>
      </c>
    </row>
    <row r="122" spans="1:8" x14ac:dyDescent="0.35">
      <c r="A122" s="2" t="s">
        <v>437</v>
      </c>
      <c r="B122" s="2" t="s">
        <v>370</v>
      </c>
      <c r="C122" s="3">
        <v>850.58</v>
      </c>
      <c r="D122" s="1">
        <v>960</v>
      </c>
      <c r="E122" t="str">
        <f>VLOOKUP(A122,Sheet2!A:E,5,)</f>
        <v>BALLANTINE FINEST WHISKY</v>
      </c>
      <c r="F122" t="s">
        <v>5</v>
      </c>
      <c r="G122" s="3">
        <v>850.58</v>
      </c>
      <c r="H122" s="1">
        <v>960</v>
      </c>
    </row>
    <row r="123" spans="1:8" x14ac:dyDescent="0.35">
      <c r="A123" s="2" t="s">
        <v>24</v>
      </c>
      <c r="B123" s="2" t="s">
        <v>369</v>
      </c>
      <c r="C123" s="3">
        <v>6227.02</v>
      </c>
      <c r="D123" s="1">
        <v>6980</v>
      </c>
      <c r="E123" t="str">
        <f>VLOOKUP(A123,Sheet2!A:E,5,)</f>
        <v>BALLANTINES 17 YO SCOTCH</v>
      </c>
      <c r="F123" t="s">
        <v>4</v>
      </c>
      <c r="G123" s="3">
        <v>6227.02</v>
      </c>
      <c r="H123" s="1">
        <v>6980</v>
      </c>
    </row>
    <row r="124" spans="1:8" x14ac:dyDescent="0.35">
      <c r="A124" s="2" t="s">
        <v>25</v>
      </c>
      <c r="B124" s="2" t="s">
        <v>367</v>
      </c>
      <c r="C124" s="3">
        <v>5885.36</v>
      </c>
      <c r="D124" s="1">
        <v>6600</v>
      </c>
      <c r="E124" t="str">
        <f>VLOOKUP(A124,Sheet2!A:E,5,)</f>
        <v>BALVENIE 12YO SINGLE MALT 1 PCS</v>
      </c>
      <c r="F124" t="s">
        <v>4</v>
      </c>
      <c r="G124" s="3">
        <v>5885.36</v>
      </c>
      <c r="H124" s="1">
        <v>6600</v>
      </c>
    </row>
    <row r="125" spans="1:8" x14ac:dyDescent="0.35">
      <c r="A125" s="2" t="s">
        <v>26</v>
      </c>
      <c r="B125" s="2" t="s">
        <v>369</v>
      </c>
      <c r="C125" s="3">
        <v>1097.23</v>
      </c>
      <c r="D125" s="1">
        <v>1230</v>
      </c>
      <c r="E125" t="str">
        <f>VLOOKUP(A125,Sheet2!A:E,5,)</f>
        <v>BARONI CHARDONARY/PHILIPPE DE CADET (1)</v>
      </c>
      <c r="F125" t="s">
        <v>4</v>
      </c>
      <c r="G125" s="3">
        <v>1097.23</v>
      </c>
      <c r="H125" s="1">
        <v>1230</v>
      </c>
    </row>
    <row r="126" spans="1:8" x14ac:dyDescent="0.35">
      <c r="A126" s="2" t="s">
        <v>438</v>
      </c>
      <c r="B126" s="2" t="s">
        <v>369</v>
      </c>
      <c r="C126" s="3">
        <v>1106.5</v>
      </c>
      <c r="D126" s="1">
        <v>1240</v>
      </c>
      <c r="E126" t="str">
        <f>VLOOKUP(A126,Sheet2!A:E,5,)</f>
        <v>BARON PHILIPPE DE ROTH. CADET DOC PINOT NOIR</v>
      </c>
      <c r="F126" t="s">
        <v>4</v>
      </c>
      <c r="G126" s="3">
        <v>1106.5</v>
      </c>
      <c r="H126" s="1">
        <v>1240</v>
      </c>
    </row>
    <row r="127" spans="1:8" x14ac:dyDescent="0.35">
      <c r="A127" s="2" t="s">
        <v>27</v>
      </c>
      <c r="B127" s="2" t="s">
        <v>367</v>
      </c>
      <c r="C127" s="3">
        <v>4157.05</v>
      </c>
      <c r="D127" s="1">
        <v>4660</v>
      </c>
      <c r="E127" t="str">
        <f>VLOOKUP(A127,Sheet2!A:E,5,)</f>
        <v>BARRHEADS ONE SINGLE MALT</v>
      </c>
      <c r="F127" t="s">
        <v>4</v>
      </c>
      <c r="G127" s="3">
        <v>4157.05</v>
      </c>
      <c r="H127" s="1">
        <v>4660</v>
      </c>
    </row>
    <row r="128" spans="1:8" x14ac:dyDescent="0.35">
      <c r="A128" s="2" t="s">
        <v>439</v>
      </c>
      <c r="B128" s="2" t="s">
        <v>368</v>
      </c>
      <c r="C128" s="3">
        <v>129.9</v>
      </c>
      <c r="D128" s="1">
        <v>150</v>
      </c>
      <c r="E128" t="str">
        <f>VLOOKUP(A128,Sheet2!A:E,5,)</f>
        <v>BATCH 9 RARE CASK RESERVE WHISKY</v>
      </c>
      <c r="F128" t="s">
        <v>374</v>
      </c>
      <c r="G128" s="3">
        <v>129.9</v>
      </c>
      <c r="H128" s="1">
        <v>150</v>
      </c>
    </row>
    <row r="129" spans="1:8" x14ac:dyDescent="0.35">
      <c r="A129" s="2" t="s">
        <v>439</v>
      </c>
      <c r="B129" s="2" t="s">
        <v>370</v>
      </c>
      <c r="C129" s="3">
        <v>268.10000000000002</v>
      </c>
      <c r="D129" s="1">
        <v>310</v>
      </c>
      <c r="E129" t="str">
        <f>VLOOKUP(A129,Sheet2!A:E,5,)</f>
        <v>BATCH 9 RARE CASK RESERVE WHISKY</v>
      </c>
      <c r="F129" t="s">
        <v>5</v>
      </c>
      <c r="G129" s="3">
        <v>268.10000000000002</v>
      </c>
      <c r="H129" s="1">
        <v>310</v>
      </c>
    </row>
    <row r="130" spans="1:8" x14ac:dyDescent="0.35">
      <c r="A130" s="2" t="s">
        <v>439</v>
      </c>
      <c r="B130" s="2" t="s">
        <v>369</v>
      </c>
      <c r="C130" s="3">
        <v>526.20000000000005</v>
      </c>
      <c r="D130" s="1">
        <v>590</v>
      </c>
      <c r="E130" t="str">
        <f>VLOOKUP(A130,Sheet2!A:E,5,)</f>
        <v>BATCH 9 RARE CASK RESERVE WHISKY</v>
      </c>
      <c r="F130" t="s">
        <v>4</v>
      </c>
      <c r="G130" s="3">
        <v>526.20000000000005</v>
      </c>
      <c r="H130" s="1">
        <v>590</v>
      </c>
    </row>
    <row r="131" spans="1:8" x14ac:dyDescent="0.35">
      <c r="A131" s="2" t="s">
        <v>440</v>
      </c>
      <c r="B131" s="2" t="s">
        <v>369</v>
      </c>
      <c r="C131" s="3">
        <v>1503.92</v>
      </c>
      <c r="D131" s="1">
        <v>1690</v>
      </c>
      <c r="E131" t="str">
        <f>VLOOKUP(A131,Sheet2!A:E,5,)</f>
        <v>BEEFEATHER LONDAON DRY GIN</v>
      </c>
      <c r="F131" t="s">
        <v>4</v>
      </c>
      <c r="G131" s="3">
        <v>1503.92</v>
      </c>
      <c r="H131" s="1">
        <v>1690</v>
      </c>
    </row>
    <row r="132" spans="1:8" x14ac:dyDescent="0.35">
      <c r="A132" s="2" t="s">
        <v>441</v>
      </c>
      <c r="B132" s="2" t="s">
        <v>369</v>
      </c>
      <c r="C132" s="3">
        <v>978.36</v>
      </c>
      <c r="D132" s="1">
        <v>1100</v>
      </c>
      <c r="E132" t="str">
        <f>VLOOKUP(A132,Sheet2!A:E,5,)</f>
        <v>BELA CHARDONNAY/SAUVIGNON</v>
      </c>
      <c r="F132" t="s">
        <v>4</v>
      </c>
      <c r="G132" s="3">
        <v>978.36</v>
      </c>
      <c r="H132" s="1">
        <v>1100</v>
      </c>
    </row>
    <row r="133" spans="1:8" x14ac:dyDescent="0.35">
      <c r="A133" s="2" t="s">
        <v>442</v>
      </c>
      <c r="B133" s="2" t="s">
        <v>367</v>
      </c>
      <c r="C133" s="3">
        <v>1583.29</v>
      </c>
      <c r="D133" s="1">
        <v>1780</v>
      </c>
      <c r="E133" t="str">
        <f>VLOOKUP(A133,Sheet2!A:E,5,)</f>
        <v>BELENKAYA GOLD VODKA</v>
      </c>
      <c r="F133" t="s">
        <v>4</v>
      </c>
      <c r="G133" s="3">
        <v>1583.29</v>
      </c>
      <c r="H133" s="1">
        <v>1780</v>
      </c>
    </row>
    <row r="134" spans="1:8" x14ac:dyDescent="0.35">
      <c r="A134" s="2" t="s">
        <v>28</v>
      </c>
      <c r="B134" s="2" t="s">
        <v>367</v>
      </c>
      <c r="C134" s="3">
        <v>3122.37</v>
      </c>
      <c r="D134" s="1">
        <v>3500</v>
      </c>
      <c r="E134" t="str">
        <f>VLOOKUP(A134,Sheet2!A:E,5,)</f>
        <v>BELLINA GIN CREAM</v>
      </c>
      <c r="F134" t="s">
        <v>4</v>
      </c>
      <c r="G134" s="3">
        <v>3122.37</v>
      </c>
      <c r="H134" s="1">
        <v>3500</v>
      </c>
    </row>
    <row r="135" spans="1:8" x14ac:dyDescent="0.35">
      <c r="A135" s="2" t="s">
        <v>443</v>
      </c>
      <c r="B135" s="2" t="s">
        <v>369</v>
      </c>
      <c r="C135" s="3">
        <v>5634.57</v>
      </c>
      <c r="D135" s="1">
        <v>6320</v>
      </c>
      <c r="E135" t="str">
        <f>VLOOKUP(A135,Sheet2!A:E,5,)</f>
        <v>BELUGA TRANSATLANTIC</v>
      </c>
      <c r="F135" t="s">
        <v>4</v>
      </c>
      <c r="G135" s="3">
        <v>5634.57</v>
      </c>
      <c r="H135" s="1">
        <v>6320</v>
      </c>
    </row>
    <row r="136" spans="1:8" x14ac:dyDescent="0.35">
      <c r="A136" s="2" t="s">
        <v>29</v>
      </c>
      <c r="B136" s="2" t="s">
        <v>367</v>
      </c>
      <c r="C136" s="3">
        <v>5596.67</v>
      </c>
      <c r="D136" s="1">
        <v>6270</v>
      </c>
      <c r="E136" t="str">
        <f>VLOOKUP(A136,Sheet2!A:E,5,)</f>
        <v>BELUGA VODKA</v>
      </c>
      <c r="F136" t="s">
        <v>4</v>
      </c>
      <c r="G136" s="3">
        <v>5596.67</v>
      </c>
      <c r="H136" s="1">
        <v>6270</v>
      </c>
    </row>
    <row r="137" spans="1:8" x14ac:dyDescent="0.35">
      <c r="A137" s="2" t="s">
        <v>444</v>
      </c>
      <c r="B137" s="2" t="s">
        <v>369</v>
      </c>
      <c r="C137" s="3">
        <v>3693.76</v>
      </c>
      <c r="D137" s="1">
        <v>4140</v>
      </c>
      <c r="E137" t="str">
        <f>VLOOKUP(A137,Sheet2!A:E,5,)</f>
        <v>BELVEDERE VODKA</v>
      </c>
      <c r="F137" t="s">
        <v>4</v>
      </c>
      <c r="G137" s="3">
        <v>3693.76</v>
      </c>
      <c r="H137" s="1">
        <v>4140</v>
      </c>
    </row>
    <row r="138" spans="1:8" x14ac:dyDescent="0.35">
      <c r="A138" s="2" t="s">
        <v>30</v>
      </c>
      <c r="B138" s="2" t="s">
        <v>367</v>
      </c>
      <c r="C138" s="3">
        <v>6477.27</v>
      </c>
      <c r="D138" s="1">
        <v>7260</v>
      </c>
      <c r="E138" t="str">
        <f>VLOOKUP(A138,Sheet2!A:E,5,)</f>
        <v>BELVENIE SINGLE MALT 12Y</v>
      </c>
      <c r="F138" t="s">
        <v>4</v>
      </c>
      <c r="G138" s="3">
        <v>6477.27</v>
      </c>
      <c r="H138" s="1">
        <v>7260</v>
      </c>
    </row>
    <row r="139" spans="1:8" x14ac:dyDescent="0.35">
      <c r="A139" s="2" t="s">
        <v>445</v>
      </c>
      <c r="B139" s="2" t="s">
        <v>368</v>
      </c>
      <c r="C139" s="3">
        <v>177.45</v>
      </c>
      <c r="D139" s="1">
        <v>200</v>
      </c>
      <c r="E139" t="str">
        <f>VLOOKUP(A139,Sheet2!A:E,5,)</f>
        <v>BHRUM LEMON WHITE RUM</v>
      </c>
      <c r="F139" t="s">
        <v>374</v>
      </c>
      <c r="G139" s="3">
        <v>177.45</v>
      </c>
      <c r="H139" s="1">
        <v>200</v>
      </c>
    </row>
    <row r="140" spans="1:8" x14ac:dyDescent="0.35">
      <c r="A140" s="2" t="s">
        <v>446</v>
      </c>
      <c r="B140" s="2" t="s">
        <v>370</v>
      </c>
      <c r="C140" s="3">
        <v>353.03</v>
      </c>
      <c r="D140" s="1">
        <v>400</v>
      </c>
      <c r="E140" t="str">
        <f>VLOOKUP(A140,Sheet2!A:E,5,)</f>
        <v>BHRUM LEMON WHITE RUM</v>
      </c>
      <c r="F140" t="s">
        <v>5</v>
      </c>
      <c r="G140" s="3">
        <v>353.03</v>
      </c>
      <c r="H140" s="1">
        <v>400</v>
      </c>
    </row>
    <row r="141" spans="1:8" x14ac:dyDescent="0.35">
      <c r="A141" s="2" t="s">
        <v>447</v>
      </c>
      <c r="B141" s="2" t="s">
        <v>369</v>
      </c>
      <c r="C141" s="3">
        <v>686.05</v>
      </c>
      <c r="D141" s="1">
        <v>770</v>
      </c>
      <c r="E141" t="str">
        <f>VLOOKUP(A141,Sheet2!A:E,5,)</f>
        <v>BHRUM LEMON WHITE RUM</v>
      </c>
      <c r="F141" t="s">
        <v>4</v>
      </c>
      <c r="G141" s="3">
        <v>686.05</v>
      </c>
      <c r="H141" s="1">
        <v>770</v>
      </c>
    </row>
    <row r="142" spans="1:8" x14ac:dyDescent="0.35">
      <c r="A142" s="2" t="s">
        <v>31</v>
      </c>
      <c r="B142" s="2" t="s">
        <v>368</v>
      </c>
      <c r="C142" s="3">
        <v>120.82</v>
      </c>
      <c r="D142" s="1">
        <v>140</v>
      </c>
      <c r="E142" t="str">
        <f>VLOOKUP(A142,Sheet2!A:E,5,)</f>
        <v>BIG BEN LONDON</v>
      </c>
      <c r="F142" t="s">
        <v>374</v>
      </c>
      <c r="G142" s="3">
        <v>120.82</v>
      </c>
      <c r="H142" s="1">
        <v>140</v>
      </c>
    </row>
    <row r="143" spans="1:8" x14ac:dyDescent="0.35">
      <c r="A143" s="2" t="s">
        <v>32</v>
      </c>
      <c r="B143" s="2" t="s">
        <v>370</v>
      </c>
      <c r="C143" s="3">
        <v>270.02</v>
      </c>
      <c r="D143" s="1">
        <v>310</v>
      </c>
      <c r="E143" t="str">
        <f>VLOOKUP(A143,Sheet2!A:E,5,)</f>
        <v>BIG BEN LONDON</v>
      </c>
      <c r="F143" t="s">
        <v>5</v>
      </c>
      <c r="G143" s="3">
        <v>270.02</v>
      </c>
      <c r="H143" s="1">
        <v>310</v>
      </c>
    </row>
    <row r="144" spans="1:8" x14ac:dyDescent="0.35">
      <c r="A144" s="2" t="s">
        <v>33</v>
      </c>
      <c r="B144" s="2" t="s">
        <v>368</v>
      </c>
      <c r="C144" s="3">
        <v>340.41</v>
      </c>
      <c r="D144" s="1">
        <v>390</v>
      </c>
      <c r="E144" t="str">
        <f>VLOOKUP(A144,Sheet2!A:E,5,)</f>
        <v>BLACK DOG CENTENARY SCOTCH</v>
      </c>
      <c r="F144" t="s">
        <v>374</v>
      </c>
      <c r="G144" s="3">
        <v>340.41</v>
      </c>
      <c r="H144" s="1">
        <v>390</v>
      </c>
    </row>
    <row r="145" spans="1:8" x14ac:dyDescent="0.35">
      <c r="A145" s="2" t="s">
        <v>34</v>
      </c>
      <c r="B145" s="2" t="s">
        <v>370</v>
      </c>
      <c r="C145" s="3">
        <v>698.42</v>
      </c>
      <c r="D145" s="1">
        <v>790</v>
      </c>
      <c r="E145" t="str">
        <f>VLOOKUP(A145,Sheet2!A:E,5,)</f>
        <v>BLACK DOG CENTENARY SCOTCH</v>
      </c>
      <c r="F145" t="s">
        <v>5</v>
      </c>
      <c r="G145" s="3">
        <v>698.42</v>
      </c>
      <c r="H145" s="1">
        <v>790</v>
      </c>
    </row>
    <row r="146" spans="1:8" x14ac:dyDescent="0.35">
      <c r="A146" s="2" t="s">
        <v>35</v>
      </c>
      <c r="B146" s="2" t="s">
        <v>369</v>
      </c>
      <c r="C146" s="3">
        <v>1386.78</v>
      </c>
      <c r="D146" s="1">
        <v>1560</v>
      </c>
      <c r="E146" t="str">
        <f>VLOOKUP(A146,Sheet2!A:E,5,)</f>
        <v>BLACK DOG CENTENARY SCOTCH</v>
      </c>
      <c r="F146" t="s">
        <v>4</v>
      </c>
      <c r="G146" s="3">
        <v>1386.78</v>
      </c>
      <c r="H146" s="1">
        <v>1560</v>
      </c>
    </row>
    <row r="147" spans="1:8" x14ac:dyDescent="0.35">
      <c r="A147" s="2" t="s">
        <v>36</v>
      </c>
      <c r="B147" s="2" t="s">
        <v>369</v>
      </c>
      <c r="C147" s="3">
        <v>3673.12</v>
      </c>
      <c r="D147" s="1">
        <v>4120</v>
      </c>
      <c r="E147" t="str">
        <f>VLOOKUP(A147,Sheet2!A:E,5,)</f>
        <v>BLACK DOG MILLARD 14Y BLENDED</v>
      </c>
      <c r="F147" t="s">
        <v>4</v>
      </c>
      <c r="G147" s="3">
        <v>3673.12</v>
      </c>
      <c r="H147" s="1">
        <v>4120</v>
      </c>
    </row>
    <row r="148" spans="1:8" x14ac:dyDescent="0.35">
      <c r="A148" s="2" t="s">
        <v>448</v>
      </c>
      <c r="B148" s="2" t="s">
        <v>368</v>
      </c>
      <c r="C148" s="3">
        <v>514.85</v>
      </c>
      <c r="D148" s="1">
        <v>580</v>
      </c>
      <c r="E148" t="str">
        <f>VLOOKUP(A148,Sheet2!A:E,5,)</f>
        <v>BLACK DOG TRIPLE GOLD</v>
      </c>
      <c r="F148" t="s">
        <v>374</v>
      </c>
      <c r="G148" s="3">
        <v>514.85</v>
      </c>
      <c r="H148" s="1">
        <v>580</v>
      </c>
    </row>
    <row r="149" spans="1:8" x14ac:dyDescent="0.35">
      <c r="A149" s="2" t="s">
        <v>449</v>
      </c>
      <c r="B149" s="2" t="s">
        <v>370</v>
      </c>
      <c r="C149" s="3">
        <v>1057.17</v>
      </c>
      <c r="D149" s="1">
        <v>1190</v>
      </c>
      <c r="E149" t="str">
        <f>VLOOKUP(A149,Sheet2!A:E,5,)</f>
        <v>BLACK DOG TRIPLE GOLD</v>
      </c>
      <c r="F149" t="s">
        <v>5</v>
      </c>
      <c r="G149" s="3">
        <v>1057.17</v>
      </c>
      <c r="H149" s="1">
        <v>1190</v>
      </c>
    </row>
    <row r="150" spans="1:8" x14ac:dyDescent="0.35">
      <c r="A150" s="2" t="s">
        <v>450</v>
      </c>
      <c r="B150" s="2" t="s">
        <v>369</v>
      </c>
      <c r="C150" s="3">
        <v>2054.91</v>
      </c>
      <c r="D150" s="1">
        <v>2310</v>
      </c>
      <c r="E150" t="str">
        <f>VLOOKUP(A150,Sheet2!A:E,5,)</f>
        <v>BLACK DOG TRIPLE GOLD</v>
      </c>
      <c r="F150" t="s">
        <v>4</v>
      </c>
      <c r="G150" s="3">
        <v>2054.91</v>
      </c>
      <c r="H150" s="1">
        <v>2310</v>
      </c>
    </row>
    <row r="151" spans="1:8" x14ac:dyDescent="0.35">
      <c r="A151" s="2" t="s">
        <v>37</v>
      </c>
      <c r="B151" s="2" t="s">
        <v>369</v>
      </c>
      <c r="C151" s="3">
        <v>2924.74</v>
      </c>
      <c r="D151" s="1">
        <v>3280</v>
      </c>
      <c r="E151" t="str">
        <f>VLOOKUP(A151,Sheet2!A:E,5,)</f>
        <v>BLACK TOWER PINOT NOIR ROSE</v>
      </c>
      <c r="F151" t="s">
        <v>4</v>
      </c>
      <c r="G151" s="3">
        <v>2924.74</v>
      </c>
      <c r="H151" s="1">
        <v>3280</v>
      </c>
    </row>
    <row r="152" spans="1:8" x14ac:dyDescent="0.35">
      <c r="A152" s="2" t="s">
        <v>451</v>
      </c>
      <c r="B152" s="2" t="s">
        <v>368</v>
      </c>
      <c r="C152" s="3">
        <v>378.95</v>
      </c>
      <c r="D152" s="1">
        <v>430</v>
      </c>
      <c r="E152" t="str">
        <f>VLOOKUP(A152,Sheet2!A:E,5,)</f>
        <v>BLACK &amp; WHITE C E B SCOTCH WHY</v>
      </c>
      <c r="F152" t="s">
        <v>374</v>
      </c>
      <c r="G152" s="3">
        <v>378.95</v>
      </c>
      <c r="H152" s="1">
        <v>430</v>
      </c>
    </row>
    <row r="153" spans="1:8" x14ac:dyDescent="0.35">
      <c r="A153" s="2" t="s">
        <v>452</v>
      </c>
      <c r="B153" s="2" t="s">
        <v>370</v>
      </c>
      <c r="C153" s="3">
        <v>775.38</v>
      </c>
      <c r="D153" s="1">
        <v>870</v>
      </c>
      <c r="E153" t="str">
        <f>VLOOKUP(A153,Sheet2!A:E,5,)</f>
        <v>BLACK &amp; WHITE C E B SCOTCH WHY</v>
      </c>
      <c r="F153" t="s">
        <v>5</v>
      </c>
      <c r="G153" s="3">
        <v>775.38</v>
      </c>
      <c r="H153" s="1">
        <v>870</v>
      </c>
    </row>
    <row r="154" spans="1:8" x14ac:dyDescent="0.35">
      <c r="A154" s="2" t="s">
        <v>453</v>
      </c>
      <c r="B154" s="2" t="s">
        <v>369</v>
      </c>
      <c r="C154" s="3">
        <v>1540.86</v>
      </c>
      <c r="D154" s="1">
        <v>1730</v>
      </c>
      <c r="E154" t="str">
        <f>VLOOKUP(A154,Sheet2!A:E,5,)</f>
        <v>BLACK &amp; WHITE C E B SCOTCH WHY</v>
      </c>
      <c r="F154" t="s">
        <v>4</v>
      </c>
      <c r="G154" s="3">
        <v>1540.86</v>
      </c>
      <c r="H154" s="1">
        <v>1730</v>
      </c>
    </row>
    <row r="155" spans="1:8" x14ac:dyDescent="0.35">
      <c r="A155" s="2" t="s">
        <v>454</v>
      </c>
      <c r="B155" s="2" t="s">
        <v>368</v>
      </c>
      <c r="C155" s="3">
        <v>263.17</v>
      </c>
      <c r="D155" s="1">
        <v>300</v>
      </c>
      <c r="E155" t="str">
        <f>VLOOKUP(A155,Sheet2!A:E,5,)</f>
        <v>BLUE MOON DRY GIN</v>
      </c>
      <c r="F155" t="s">
        <v>374</v>
      </c>
      <c r="G155" s="3">
        <v>263.17</v>
      </c>
      <c r="H155" s="1">
        <v>300</v>
      </c>
    </row>
    <row r="156" spans="1:8" x14ac:dyDescent="0.35">
      <c r="A156" s="2" t="s">
        <v>38</v>
      </c>
      <c r="B156" s="2" t="s">
        <v>369</v>
      </c>
      <c r="C156" s="3">
        <v>1028.2</v>
      </c>
      <c r="D156" s="1">
        <v>1160</v>
      </c>
      <c r="E156" t="str">
        <f>VLOOKUP(A156,Sheet2!A:E,5,)</f>
        <v>BLUE MOON DRY GIN</v>
      </c>
      <c r="F156" t="s">
        <v>4</v>
      </c>
      <c r="G156" s="3">
        <v>1028.2</v>
      </c>
      <c r="H156" s="1">
        <v>1160</v>
      </c>
    </row>
    <row r="157" spans="1:8" x14ac:dyDescent="0.35">
      <c r="A157" s="2" t="s">
        <v>39</v>
      </c>
      <c r="B157" s="2" t="s">
        <v>369</v>
      </c>
      <c r="C157" s="3">
        <v>1706.55</v>
      </c>
      <c r="D157" s="1">
        <v>1920</v>
      </c>
      <c r="E157" t="str">
        <f>VLOOKUP(A157,Sheet2!A:E,5,)</f>
        <v>BODEGA NORTON MALBEC</v>
      </c>
      <c r="F157" t="s">
        <v>4</v>
      </c>
      <c r="G157" s="3">
        <v>1706.55</v>
      </c>
      <c r="H157" s="1">
        <v>1920</v>
      </c>
    </row>
    <row r="158" spans="1:8" x14ac:dyDescent="0.35">
      <c r="A158" s="2" t="s">
        <v>455</v>
      </c>
      <c r="B158" s="2" t="s">
        <v>369</v>
      </c>
      <c r="C158" s="3">
        <v>1724</v>
      </c>
      <c r="D158" s="1">
        <v>1940</v>
      </c>
      <c r="E158" t="str">
        <f>VLOOKUP(A158,Sheet2!A:E,5,)</f>
        <v>BODEGA NORTON MERLOT</v>
      </c>
      <c r="F158" t="s">
        <v>4</v>
      </c>
      <c r="G158" s="3">
        <v>1724</v>
      </c>
      <c r="H158" s="1">
        <v>1940</v>
      </c>
    </row>
    <row r="159" spans="1:8" x14ac:dyDescent="0.35">
      <c r="A159" s="2" t="s">
        <v>456</v>
      </c>
      <c r="B159" s="2" t="s">
        <v>372</v>
      </c>
      <c r="C159" s="3">
        <v>215.36</v>
      </c>
      <c r="D159" s="1">
        <v>250</v>
      </c>
      <c r="E159" t="str">
        <f>VLOOKUP(A159,Sheet2!A:E,5,)</f>
        <v>BOHO DELUXE WHISKY</v>
      </c>
      <c r="F159" t="s">
        <v>374</v>
      </c>
      <c r="G159" s="3">
        <v>215.36</v>
      </c>
      <c r="H159" s="1">
        <v>250</v>
      </c>
    </row>
    <row r="160" spans="1:8" x14ac:dyDescent="0.35">
      <c r="A160" s="2" t="s">
        <v>40</v>
      </c>
      <c r="B160" s="2" t="s">
        <v>370</v>
      </c>
      <c r="C160" s="3">
        <v>428.72</v>
      </c>
      <c r="D160" s="1">
        <v>490</v>
      </c>
      <c r="E160" t="str">
        <f>VLOOKUP(A160,Sheet2!A:E,5,)</f>
        <v>BOHO DELUXE WHISKY</v>
      </c>
      <c r="F160" t="s">
        <v>5</v>
      </c>
      <c r="G160" s="3">
        <v>428.72</v>
      </c>
      <c r="H160" s="1">
        <v>490</v>
      </c>
    </row>
    <row r="161" spans="1:8" x14ac:dyDescent="0.35">
      <c r="A161" s="2" t="s">
        <v>457</v>
      </c>
      <c r="B161" s="2" t="s">
        <v>369</v>
      </c>
      <c r="C161" s="3">
        <v>837.45</v>
      </c>
      <c r="D161" s="1">
        <v>940</v>
      </c>
      <c r="E161" t="str">
        <f>VLOOKUP(A161,Sheet2!A:E,5,)</f>
        <v>BOHO DELUXE WHISKY</v>
      </c>
      <c r="F161" t="s">
        <v>4</v>
      </c>
      <c r="G161" s="3">
        <v>837.45</v>
      </c>
      <c r="H161" s="1">
        <v>940</v>
      </c>
    </row>
    <row r="162" spans="1:8" x14ac:dyDescent="0.35">
      <c r="A162" s="2" t="s">
        <v>41</v>
      </c>
      <c r="B162" s="2" t="s">
        <v>371</v>
      </c>
      <c r="C162" s="3">
        <v>107.78</v>
      </c>
      <c r="D162" s="1">
        <v>130</v>
      </c>
      <c r="E162" t="str">
        <f>VLOOKUP(A162,Sheet2!A:E,5,)</f>
        <v>BOHO DELUXE WHISKY</v>
      </c>
      <c r="F162" t="s">
        <v>376</v>
      </c>
      <c r="G162" s="3">
        <v>107.78</v>
      </c>
      <c r="H162" s="1">
        <v>130</v>
      </c>
    </row>
    <row r="163" spans="1:8" x14ac:dyDescent="0.35">
      <c r="A163" s="2" t="s">
        <v>458</v>
      </c>
      <c r="B163" s="2" t="s">
        <v>368</v>
      </c>
      <c r="C163" s="3">
        <v>221.26</v>
      </c>
      <c r="D163" s="1">
        <v>250</v>
      </c>
      <c r="E163" t="str">
        <f>VLOOKUP(A163,Sheet2!A:E,5,)</f>
        <v>BOISSON RES. PRE. BLENDED WHISKY</v>
      </c>
      <c r="F163" t="s">
        <v>374</v>
      </c>
      <c r="G163" s="3">
        <v>221.26</v>
      </c>
      <c r="H163" s="1">
        <v>250</v>
      </c>
    </row>
    <row r="164" spans="1:8" x14ac:dyDescent="0.35">
      <c r="A164" s="2" t="s">
        <v>459</v>
      </c>
      <c r="B164" s="2" t="s">
        <v>370</v>
      </c>
      <c r="C164" s="3">
        <v>428.27</v>
      </c>
      <c r="D164" s="1">
        <v>480</v>
      </c>
      <c r="E164" t="str">
        <f>VLOOKUP(A164,Sheet2!A:E,5,)</f>
        <v>BOISSON RES. PRE. BLENDED WHISKY</v>
      </c>
      <c r="F164" t="s">
        <v>5</v>
      </c>
      <c r="G164" s="3">
        <v>428.27</v>
      </c>
      <c r="H164" s="1">
        <v>480</v>
      </c>
    </row>
    <row r="165" spans="1:8" x14ac:dyDescent="0.35">
      <c r="A165" s="2" t="s">
        <v>460</v>
      </c>
      <c r="B165" s="2" t="s">
        <v>369</v>
      </c>
      <c r="C165" s="3">
        <v>2049.63</v>
      </c>
      <c r="D165" s="1">
        <v>2300</v>
      </c>
      <c r="E165" t="str">
        <f>VLOOKUP(A165,Sheet2!A:E,5,)</f>
        <v>BOMBAY SAPPHIRE GIN</v>
      </c>
      <c r="F165" t="s">
        <v>4</v>
      </c>
      <c r="G165" s="3">
        <v>2049.63</v>
      </c>
      <c r="H165" s="1">
        <v>2300</v>
      </c>
    </row>
    <row r="166" spans="1:8" x14ac:dyDescent="0.35">
      <c r="A166" s="2" t="s">
        <v>461</v>
      </c>
      <c r="B166" s="2" t="s">
        <v>369</v>
      </c>
      <c r="C166" s="3">
        <v>4285.95</v>
      </c>
      <c r="D166" s="1">
        <v>4810</v>
      </c>
      <c r="E166" t="str">
        <f>VLOOKUP(A166,Sheet2!A:E,5,)</f>
        <v>BONACCHI BRUNELLO DE MONTEPULCIANO</v>
      </c>
      <c r="F166" t="s">
        <v>4</v>
      </c>
      <c r="G166" s="3">
        <v>4285.95</v>
      </c>
      <c r="H166" s="1">
        <v>4810</v>
      </c>
    </row>
    <row r="167" spans="1:8" x14ac:dyDescent="0.35">
      <c r="A167" s="2" t="s">
        <v>462</v>
      </c>
      <c r="B167" s="2" t="s">
        <v>368</v>
      </c>
      <c r="C167" s="3">
        <v>167.99</v>
      </c>
      <c r="D167" s="1">
        <v>190</v>
      </c>
      <c r="E167" t="str">
        <f>VLOOKUP(A167,Sheet2!A:E,5,)</f>
        <v>BORA BORA VODKA</v>
      </c>
      <c r="F167" t="s">
        <v>374</v>
      </c>
      <c r="G167" s="3">
        <v>167.99</v>
      </c>
      <c r="H167" s="1">
        <v>190</v>
      </c>
    </row>
    <row r="168" spans="1:8" x14ac:dyDescent="0.35">
      <c r="A168" s="2" t="s">
        <v>463</v>
      </c>
      <c r="B168" s="2" t="s">
        <v>370</v>
      </c>
      <c r="C168" s="3">
        <v>334.15</v>
      </c>
      <c r="D168" s="1">
        <v>380</v>
      </c>
      <c r="E168" t="str">
        <f>VLOOKUP(A168,Sheet2!A:E,5,)</f>
        <v>BORA BORA VODKA</v>
      </c>
      <c r="F168" t="s">
        <v>5</v>
      </c>
      <c r="G168" s="3">
        <v>334.15</v>
      </c>
      <c r="H168" s="1">
        <v>380</v>
      </c>
    </row>
    <row r="169" spans="1:8" x14ac:dyDescent="0.35">
      <c r="A169" s="2" t="s">
        <v>464</v>
      </c>
      <c r="B169" s="2" t="s">
        <v>369</v>
      </c>
      <c r="C169" s="3">
        <v>638.26</v>
      </c>
      <c r="D169" s="1">
        <v>720</v>
      </c>
      <c r="E169" t="str">
        <f>VLOOKUP(A169,Sheet2!A:E,5,)</f>
        <v>BORA BORA VODKA</v>
      </c>
      <c r="F169" t="s">
        <v>4</v>
      </c>
      <c r="G169" s="3">
        <v>638.26</v>
      </c>
      <c r="H169" s="1">
        <v>720</v>
      </c>
    </row>
    <row r="170" spans="1:8" x14ac:dyDescent="0.35">
      <c r="A170" s="2" t="s">
        <v>465</v>
      </c>
      <c r="B170" s="2" t="s">
        <v>368</v>
      </c>
      <c r="C170" s="3">
        <v>177.52</v>
      </c>
      <c r="D170" s="1">
        <v>200</v>
      </c>
      <c r="E170" t="str">
        <f>VLOOKUP(A170,Sheet2!A:E,5,)</f>
        <v>BORA BORA VODKA CRANBERRY</v>
      </c>
      <c r="F170" t="s">
        <v>374</v>
      </c>
      <c r="G170" s="3">
        <v>177.52</v>
      </c>
      <c r="H170" s="1">
        <v>200</v>
      </c>
    </row>
    <row r="171" spans="1:8" x14ac:dyDescent="0.35">
      <c r="A171" s="2" t="s">
        <v>466</v>
      </c>
      <c r="B171" s="2" t="s">
        <v>370</v>
      </c>
      <c r="C171" s="3">
        <v>343.17</v>
      </c>
      <c r="D171" s="1">
        <v>390</v>
      </c>
      <c r="E171" t="str">
        <f>VLOOKUP(A171,Sheet2!A:E,5,)</f>
        <v>BORA BORA VODKA CRANBERRY</v>
      </c>
      <c r="F171" t="s">
        <v>5</v>
      </c>
      <c r="G171" s="3">
        <v>343.17</v>
      </c>
      <c r="H171" s="1">
        <v>390</v>
      </c>
    </row>
    <row r="172" spans="1:8" x14ac:dyDescent="0.35">
      <c r="A172" s="2" t="s">
        <v>467</v>
      </c>
      <c r="B172" s="2" t="s">
        <v>369</v>
      </c>
      <c r="C172" s="3">
        <v>676.33</v>
      </c>
      <c r="D172" s="1">
        <v>760</v>
      </c>
      <c r="E172" t="str">
        <f>VLOOKUP(A172,Sheet2!A:E,5,)</f>
        <v>BORA BORA VODKA CRANBERRY</v>
      </c>
      <c r="F172" t="s">
        <v>4</v>
      </c>
      <c r="G172" s="3">
        <v>676.33</v>
      </c>
      <c r="H172" s="1">
        <v>760</v>
      </c>
    </row>
    <row r="173" spans="1:8" x14ac:dyDescent="0.35">
      <c r="A173" s="2" t="s">
        <v>42</v>
      </c>
      <c r="B173" s="2" t="s">
        <v>367</v>
      </c>
      <c r="C173" s="3">
        <v>3677.11</v>
      </c>
      <c r="D173" s="1">
        <v>4120</v>
      </c>
      <c r="E173" t="str">
        <f>VLOOKUP(A173,Sheet2!A:E,5,)</f>
        <v>BOWMORE 12 YO</v>
      </c>
      <c r="F173" t="s">
        <v>4</v>
      </c>
      <c r="G173" s="3">
        <v>3677.11</v>
      </c>
      <c r="H173" s="1">
        <v>4120</v>
      </c>
    </row>
    <row r="174" spans="1:8" x14ac:dyDescent="0.35">
      <c r="A174" s="2" t="s">
        <v>468</v>
      </c>
      <c r="B174" s="2" t="s">
        <v>368</v>
      </c>
      <c r="C174" s="3">
        <v>224.96</v>
      </c>
      <c r="D174" s="1">
        <v>260</v>
      </c>
      <c r="E174" t="str">
        <f>VLOOKUP(A174,Sheet2!A:E,5,)</f>
        <v>BP FOUR ELEMENTS</v>
      </c>
      <c r="F174" t="s">
        <v>374</v>
      </c>
      <c r="G174" s="3">
        <v>224.96</v>
      </c>
      <c r="H174" s="1">
        <v>260</v>
      </c>
    </row>
    <row r="175" spans="1:8" x14ac:dyDescent="0.35">
      <c r="A175" s="2" t="s">
        <v>469</v>
      </c>
      <c r="B175" s="2" t="s">
        <v>370</v>
      </c>
      <c r="C175" s="3">
        <v>457.91</v>
      </c>
      <c r="D175" s="1">
        <v>520</v>
      </c>
      <c r="E175" t="str">
        <f>VLOOKUP(A175,Sheet2!A:E,5,)</f>
        <v>BP FOUR ELEMENTS</v>
      </c>
      <c r="F175" t="s">
        <v>5</v>
      </c>
      <c r="G175" s="3">
        <v>457.91</v>
      </c>
      <c r="H175" s="1">
        <v>520</v>
      </c>
    </row>
    <row r="176" spans="1:8" x14ac:dyDescent="0.35">
      <c r="A176" s="2" t="s">
        <v>470</v>
      </c>
      <c r="B176" s="2" t="s">
        <v>369</v>
      </c>
      <c r="C176" s="3">
        <v>895.04</v>
      </c>
      <c r="D176" s="1">
        <v>1010</v>
      </c>
      <c r="E176" t="str">
        <f>VLOOKUP(A176,Sheet2!A:E,5,)</f>
        <v>BP FOUR ELEMENTS</v>
      </c>
      <c r="F176" t="s">
        <v>4</v>
      </c>
      <c r="G176" s="3">
        <v>895.04</v>
      </c>
      <c r="H176" s="1">
        <v>1010</v>
      </c>
    </row>
    <row r="177" spans="1:8" x14ac:dyDescent="0.35">
      <c r="A177" s="2" t="s">
        <v>471</v>
      </c>
      <c r="B177" s="2" t="s">
        <v>371</v>
      </c>
      <c r="C177" s="3">
        <v>117.31</v>
      </c>
      <c r="D177" s="1">
        <v>140</v>
      </c>
      <c r="E177" t="str">
        <f>VLOOKUP(A177,Sheet2!A:E,5,)</f>
        <v>BP FOUR ELEMENTS</v>
      </c>
      <c r="F177" t="s">
        <v>376</v>
      </c>
      <c r="G177" s="3">
        <v>117.31</v>
      </c>
      <c r="H177" s="1">
        <v>140</v>
      </c>
    </row>
    <row r="178" spans="1:8" x14ac:dyDescent="0.35">
      <c r="A178" s="2" t="s">
        <v>43</v>
      </c>
      <c r="B178" s="2" t="s">
        <v>371</v>
      </c>
      <c r="C178" s="3">
        <v>107.84</v>
      </c>
      <c r="D178" s="1">
        <v>130</v>
      </c>
      <c r="E178" t="str">
        <f>VLOOKUP(A178,Sheet2!A:E,5,)</f>
        <v>BP RARE PREMIUM WHISKY</v>
      </c>
      <c r="F178" t="s">
        <v>376</v>
      </c>
      <c r="G178" s="3">
        <v>107.84</v>
      </c>
      <c r="H178" s="1">
        <v>130</v>
      </c>
    </row>
    <row r="179" spans="1:8" x14ac:dyDescent="0.35">
      <c r="A179" s="2" t="s">
        <v>472</v>
      </c>
      <c r="B179" s="2" t="s">
        <v>368</v>
      </c>
      <c r="C179" s="3">
        <v>215.71</v>
      </c>
      <c r="D179" s="1">
        <v>250</v>
      </c>
      <c r="E179" t="str">
        <f>VLOOKUP(A179,Sheet2!A:E,5,)</f>
        <v>BP RARE PREMIUM WHISKY</v>
      </c>
      <c r="F179" t="s">
        <v>374</v>
      </c>
      <c r="G179" s="3">
        <v>215.71</v>
      </c>
      <c r="H179" s="1">
        <v>250</v>
      </c>
    </row>
    <row r="180" spans="1:8" x14ac:dyDescent="0.35">
      <c r="A180" s="2" t="s">
        <v>44</v>
      </c>
      <c r="B180" s="2" t="s">
        <v>370</v>
      </c>
      <c r="C180" s="3">
        <v>429.39</v>
      </c>
      <c r="D180" s="1">
        <v>490</v>
      </c>
      <c r="E180" t="str">
        <f>VLOOKUP(A180,Sheet2!A:E,5,)</f>
        <v>BP RARE PREMIUM WHISKY</v>
      </c>
      <c r="F180" t="s">
        <v>5</v>
      </c>
      <c r="G180" s="3">
        <v>429.39</v>
      </c>
      <c r="H180" s="1">
        <v>490</v>
      </c>
    </row>
    <row r="181" spans="1:8" x14ac:dyDescent="0.35">
      <c r="A181" s="2" t="s">
        <v>45</v>
      </c>
      <c r="B181" s="2" t="s">
        <v>369</v>
      </c>
      <c r="C181" s="3">
        <v>828.78</v>
      </c>
      <c r="D181" s="1">
        <v>930</v>
      </c>
      <c r="E181" t="str">
        <f>VLOOKUP(A181,Sheet2!A:E,5,)</f>
        <v>BP RARE PREMIUM WHISKY</v>
      </c>
      <c r="F181" t="s">
        <v>4</v>
      </c>
      <c r="G181" s="3">
        <v>828.78</v>
      </c>
      <c r="H181" s="1">
        <v>930</v>
      </c>
    </row>
    <row r="182" spans="1:8" x14ac:dyDescent="0.35">
      <c r="A182" s="2" t="s">
        <v>473</v>
      </c>
      <c r="B182" s="2" t="s">
        <v>368</v>
      </c>
      <c r="C182" s="3">
        <v>234.54</v>
      </c>
      <c r="D182" s="1">
        <v>270</v>
      </c>
      <c r="E182" t="str">
        <f>VLOOKUP(A182,Sheet2!A:E,5,)</f>
        <v>BP RESERVE COLLECTION</v>
      </c>
      <c r="F182" t="s">
        <v>374</v>
      </c>
      <c r="G182" s="3">
        <v>234.54</v>
      </c>
      <c r="H182" s="1">
        <v>270</v>
      </c>
    </row>
    <row r="183" spans="1:8" x14ac:dyDescent="0.35">
      <c r="A183" s="2" t="s">
        <v>473</v>
      </c>
      <c r="B183" s="2" t="s">
        <v>370</v>
      </c>
      <c r="C183" s="3">
        <v>467.17</v>
      </c>
      <c r="D183" s="1">
        <v>530</v>
      </c>
      <c r="E183" t="str">
        <f>VLOOKUP(A183,Sheet2!A:E,5,)</f>
        <v>BP RESERVE COLLECTION</v>
      </c>
      <c r="F183" t="s">
        <v>5</v>
      </c>
      <c r="G183" s="3">
        <v>467.17</v>
      </c>
      <c r="H183" s="1">
        <v>530</v>
      </c>
    </row>
    <row r="184" spans="1:8" x14ac:dyDescent="0.35">
      <c r="A184" s="2" t="s">
        <v>473</v>
      </c>
      <c r="B184" s="2" t="s">
        <v>369</v>
      </c>
      <c r="C184" s="3">
        <v>914.21</v>
      </c>
      <c r="D184" s="1">
        <v>1030</v>
      </c>
      <c r="E184" t="str">
        <f>VLOOKUP(A184,Sheet2!A:E,5,)</f>
        <v>BP RESERVE COLLECTION</v>
      </c>
      <c r="F184" t="s">
        <v>4</v>
      </c>
      <c r="G184" s="3">
        <v>914.21</v>
      </c>
      <c r="H184" s="1">
        <v>1030</v>
      </c>
    </row>
    <row r="185" spans="1:8" x14ac:dyDescent="0.35">
      <c r="A185" s="2" t="s">
        <v>46</v>
      </c>
      <c r="B185" s="2" t="s">
        <v>371</v>
      </c>
      <c r="C185" s="3">
        <v>117.2</v>
      </c>
      <c r="D185" s="1">
        <v>140</v>
      </c>
      <c r="E185" t="str">
        <f>VLOOKUP(A185,Sheet2!A:E,5,)</f>
        <v>BP RESERVE COLLECTION</v>
      </c>
      <c r="F185" t="s">
        <v>376</v>
      </c>
      <c r="G185" s="3">
        <v>117.2</v>
      </c>
      <c r="H185" s="1">
        <v>140</v>
      </c>
    </row>
    <row r="186" spans="1:8" x14ac:dyDescent="0.35">
      <c r="A186" s="2" t="s">
        <v>47</v>
      </c>
      <c r="B186" s="2" t="s">
        <v>369</v>
      </c>
      <c r="C186" s="3">
        <v>1370.01</v>
      </c>
      <c r="D186" s="1">
        <v>1540</v>
      </c>
      <c r="E186" t="str">
        <f>VLOOKUP(A186,Sheet2!A:E,5,)</f>
        <v>BRANCOTT ESTATE SAUVIGNON BLCNC</v>
      </c>
      <c r="F186" t="s">
        <v>4</v>
      </c>
      <c r="G186" s="3">
        <v>1370.01</v>
      </c>
      <c r="H186" s="1">
        <v>1540</v>
      </c>
    </row>
    <row r="187" spans="1:8" x14ac:dyDescent="0.35">
      <c r="A187" s="2" t="s">
        <v>474</v>
      </c>
      <c r="B187" s="2" t="s">
        <v>368</v>
      </c>
      <c r="C187" s="3">
        <v>167.82</v>
      </c>
      <c r="D187" s="1">
        <v>190</v>
      </c>
      <c r="E187" t="str">
        <f>VLOOKUP(A187,Sheet2!A:E,5,)</f>
        <v>BROTHERS AND CO. FINEST BLENDED WHISKY</v>
      </c>
      <c r="F187" t="s">
        <v>374</v>
      </c>
      <c r="G187" s="3">
        <v>167.82</v>
      </c>
      <c r="H187" s="1">
        <v>190</v>
      </c>
    </row>
    <row r="188" spans="1:8" x14ac:dyDescent="0.35">
      <c r="A188" s="2" t="s">
        <v>474</v>
      </c>
      <c r="B188" s="2" t="s">
        <v>370</v>
      </c>
      <c r="C188" s="3">
        <v>333.57</v>
      </c>
      <c r="D188" s="1">
        <v>380</v>
      </c>
      <c r="E188" t="str">
        <f>VLOOKUP(A188,Sheet2!A:E,5,)</f>
        <v>BROTHERS AND CO. FINEST BLENDED WHISKY</v>
      </c>
      <c r="F188" t="s">
        <v>5</v>
      </c>
      <c r="G188" s="3">
        <v>333.57</v>
      </c>
      <c r="H188" s="1">
        <v>380</v>
      </c>
    </row>
    <row r="189" spans="1:8" x14ac:dyDescent="0.35">
      <c r="A189" s="2" t="s">
        <v>474</v>
      </c>
      <c r="B189" s="2" t="s">
        <v>369</v>
      </c>
      <c r="C189" s="3">
        <v>657.69</v>
      </c>
      <c r="D189" s="1">
        <v>740</v>
      </c>
      <c r="E189" t="str">
        <f>VLOOKUP(A189,Sheet2!A:E,5,)</f>
        <v>BROTHERS AND CO. FINEST BLENDED WHISKY</v>
      </c>
      <c r="F189" t="s">
        <v>4</v>
      </c>
      <c r="G189" s="3">
        <v>657.69</v>
      </c>
      <c r="H189" s="1">
        <v>740</v>
      </c>
    </row>
    <row r="190" spans="1:8" x14ac:dyDescent="0.35">
      <c r="A190" s="2" t="s">
        <v>48</v>
      </c>
      <c r="B190" s="2" t="s">
        <v>371</v>
      </c>
      <c r="C190" s="3">
        <v>88.93</v>
      </c>
      <c r="D190" s="1">
        <v>100</v>
      </c>
      <c r="E190" t="str">
        <f>VLOOKUP(A190,Sheet2!A:E,5,)</f>
        <v>BROTHERS AND CO. FINEST BLENDED WHISKY 90 NE</v>
      </c>
      <c r="F190" t="s">
        <v>376</v>
      </c>
      <c r="G190" s="3">
        <v>88.93</v>
      </c>
      <c r="H190" s="1">
        <v>100</v>
      </c>
    </row>
    <row r="191" spans="1:8" x14ac:dyDescent="0.35">
      <c r="A191" s="2" t="s">
        <v>49</v>
      </c>
      <c r="B191" s="2" t="s">
        <v>369</v>
      </c>
      <c r="C191" s="3">
        <v>1744.12</v>
      </c>
      <c r="D191" s="1">
        <v>1960</v>
      </c>
      <c r="E191" t="str">
        <f>VLOOKUP(A191,Sheet2!A:E,5,)</f>
        <v>BUDWISER MAGNUM AMERICAN WHISKY</v>
      </c>
      <c r="F191" t="s">
        <v>4</v>
      </c>
      <c r="G191" s="3">
        <v>1744.12</v>
      </c>
      <c r="H191" s="1">
        <v>1960</v>
      </c>
    </row>
    <row r="192" spans="1:8" x14ac:dyDescent="0.35">
      <c r="A192" s="2" t="s">
        <v>475</v>
      </c>
      <c r="B192" s="2" t="s">
        <v>369</v>
      </c>
      <c r="C192" s="3">
        <v>2244.75</v>
      </c>
      <c r="D192" s="1">
        <v>2520</v>
      </c>
      <c r="E192" t="str">
        <f>VLOOKUP(A192,Sheet2!A:E,5,)</f>
        <v>BUEN TEQUILA</v>
      </c>
      <c r="F192" t="s">
        <v>4</v>
      </c>
      <c r="G192" s="3">
        <v>2244.75</v>
      </c>
      <c r="H192" s="1">
        <v>2520</v>
      </c>
    </row>
    <row r="193" spans="1:8" x14ac:dyDescent="0.35">
      <c r="A193" s="2" t="s">
        <v>476</v>
      </c>
      <c r="B193" s="2" t="s">
        <v>369</v>
      </c>
      <c r="C193" s="3">
        <v>2252</v>
      </c>
      <c r="D193" s="1">
        <v>2530</v>
      </c>
      <c r="E193" t="str">
        <f>VLOOKUP(A193,Sheet2!A:E,5,)</f>
        <v>BULLDOG LONDON GIN</v>
      </c>
      <c r="F193" t="s">
        <v>4</v>
      </c>
      <c r="G193" s="3">
        <v>2252</v>
      </c>
      <c r="H193" s="1">
        <v>2530</v>
      </c>
    </row>
    <row r="194" spans="1:8" x14ac:dyDescent="0.35">
      <c r="A194" s="2" t="s">
        <v>477</v>
      </c>
      <c r="B194" s="2" t="s">
        <v>369</v>
      </c>
      <c r="C194" s="3">
        <v>2395.13</v>
      </c>
      <c r="D194" s="1">
        <v>2690</v>
      </c>
      <c r="E194" t="str">
        <f>VLOOKUP(A194,Sheet2!A:E,5,)</f>
        <v>BURNETTS LONDON DRY GIN</v>
      </c>
      <c r="F194" t="s">
        <v>4</v>
      </c>
      <c r="G194" s="3">
        <v>2395.13</v>
      </c>
      <c r="H194" s="1">
        <v>2690</v>
      </c>
    </row>
    <row r="195" spans="1:8" x14ac:dyDescent="0.35">
      <c r="A195" s="2" t="s">
        <v>478</v>
      </c>
      <c r="B195" s="2" t="s">
        <v>369</v>
      </c>
      <c r="C195" s="3">
        <v>2119.31</v>
      </c>
      <c r="D195" s="1">
        <v>2380</v>
      </c>
      <c r="E195" t="str">
        <f>VLOOKUP(A195,Sheet2!A:E,5,)</f>
        <v>BUSH BALLAD MERLOT WINE</v>
      </c>
      <c r="F195" t="s">
        <v>4</v>
      </c>
      <c r="G195" s="3">
        <v>2119.31</v>
      </c>
      <c r="H195" s="1">
        <v>2380</v>
      </c>
    </row>
    <row r="196" spans="1:8" x14ac:dyDescent="0.35">
      <c r="A196" s="2" t="s">
        <v>479</v>
      </c>
      <c r="B196" s="2" t="s">
        <v>369</v>
      </c>
      <c r="C196" s="3">
        <v>2088.36</v>
      </c>
      <c r="D196" s="1">
        <v>2340</v>
      </c>
      <c r="E196" t="str">
        <f>VLOOKUP(A196,Sheet2!A:E,5,)</f>
        <v>BUSH BALLAD SHIRAZ/CHARDONNAY</v>
      </c>
      <c r="F196" t="s">
        <v>4</v>
      </c>
      <c r="G196" s="3">
        <v>2088.36</v>
      </c>
      <c r="H196" s="1">
        <v>2340</v>
      </c>
    </row>
    <row r="197" spans="1:8" x14ac:dyDescent="0.35">
      <c r="A197" s="2" t="s">
        <v>480</v>
      </c>
      <c r="B197" s="2" t="s">
        <v>369</v>
      </c>
      <c r="C197" s="3">
        <v>1520.75</v>
      </c>
      <c r="D197" s="1">
        <v>1710</v>
      </c>
      <c r="E197" t="str">
        <f>VLOOKUP(A197,Sheet2!A:E,5,)</f>
        <v>BUSH BALLAD SHIRAZ WINE</v>
      </c>
      <c r="F197" t="s">
        <v>4</v>
      </c>
      <c r="G197" s="3">
        <v>1520.75</v>
      </c>
      <c r="H197" s="1">
        <v>1710</v>
      </c>
    </row>
    <row r="198" spans="1:8" x14ac:dyDescent="0.35">
      <c r="A198" s="2" t="s">
        <v>50</v>
      </c>
      <c r="B198" s="2" t="s">
        <v>369</v>
      </c>
      <c r="C198" s="3">
        <v>4701</v>
      </c>
      <c r="D198" s="1">
        <v>5270</v>
      </c>
      <c r="E198" t="str">
        <f>VLOOKUP(A198,Sheet2!A:E,5,)</f>
        <v>BUSH MALT 12YO</v>
      </c>
      <c r="F198" t="s">
        <v>4</v>
      </c>
      <c r="G198" s="3">
        <v>4701</v>
      </c>
      <c r="H198" s="1">
        <v>5270</v>
      </c>
    </row>
    <row r="199" spans="1:8" x14ac:dyDescent="0.35">
      <c r="A199" s="2" t="s">
        <v>51</v>
      </c>
      <c r="B199" s="2" t="s">
        <v>367</v>
      </c>
      <c r="C199" s="3">
        <v>18358.93</v>
      </c>
      <c r="D199" s="1">
        <v>20570</v>
      </c>
      <c r="E199" t="str">
        <f>VLOOKUP(A199,Sheet2!A:E,5,)</f>
        <v>BUSHMILLS 16 YEARS</v>
      </c>
      <c r="F199" t="s">
        <v>4</v>
      </c>
      <c r="G199" s="3">
        <v>18358.93</v>
      </c>
      <c r="H199" s="1">
        <v>20570</v>
      </c>
    </row>
    <row r="200" spans="1:8" x14ac:dyDescent="0.35">
      <c r="A200" s="2" t="s">
        <v>52</v>
      </c>
      <c r="B200" s="2" t="s">
        <v>367</v>
      </c>
      <c r="C200" s="3">
        <v>27468.13</v>
      </c>
      <c r="D200" s="1">
        <v>30770</v>
      </c>
      <c r="E200" t="str">
        <f>VLOOKUP(A200,Sheet2!A:E,5,)</f>
        <v>BUSHMILLS 21 YEARS</v>
      </c>
      <c r="F200" t="s">
        <v>4</v>
      </c>
      <c r="G200" s="3">
        <v>27468.13</v>
      </c>
      <c r="H200" s="1">
        <v>30770</v>
      </c>
    </row>
    <row r="201" spans="1:8" x14ac:dyDescent="0.35">
      <c r="A201" s="2" t="s">
        <v>53</v>
      </c>
      <c r="B201" s="2" t="s">
        <v>367</v>
      </c>
      <c r="C201" s="3">
        <v>2026.43</v>
      </c>
      <c r="D201" s="1">
        <v>2270</v>
      </c>
      <c r="E201" t="str">
        <f>VLOOKUP(A201,Sheet2!A:E,5,)</f>
        <v>BUSHMILLS ORIGINAL WHISKEY</v>
      </c>
      <c r="F201" t="s">
        <v>4</v>
      </c>
      <c r="G201" s="3">
        <v>2026.43</v>
      </c>
      <c r="H201" s="1">
        <v>2270</v>
      </c>
    </row>
    <row r="202" spans="1:8" x14ac:dyDescent="0.35">
      <c r="A202" s="2" t="s">
        <v>481</v>
      </c>
      <c r="B202" s="2" t="s">
        <v>368</v>
      </c>
      <c r="C202" s="3">
        <v>167.72</v>
      </c>
      <c r="D202" s="1">
        <v>190</v>
      </c>
      <c r="E202" t="str">
        <f>VLOOKUP(A202,Sheet2!A:E,5,)</f>
        <v>BX HIPPY ULTRA WHISKY</v>
      </c>
      <c r="F202" t="s">
        <v>374</v>
      </c>
      <c r="G202" s="3">
        <v>167.72</v>
      </c>
      <c r="H202" s="1">
        <v>190</v>
      </c>
    </row>
    <row r="203" spans="1:8" x14ac:dyDescent="0.35">
      <c r="A203" s="2" t="s">
        <v>54</v>
      </c>
      <c r="B203" s="2" t="s">
        <v>368</v>
      </c>
      <c r="C203" s="3">
        <v>126.88</v>
      </c>
      <c r="D203" s="1">
        <v>150</v>
      </c>
      <c r="E203" t="str">
        <f>VLOOKUP(A203,Sheet2!A:E,5,)</f>
        <v>CALENTER RESERVE RUM</v>
      </c>
      <c r="F203" t="s">
        <v>374</v>
      </c>
      <c r="G203" s="3">
        <v>126.88</v>
      </c>
      <c r="H203" s="1">
        <v>150</v>
      </c>
    </row>
    <row r="204" spans="1:8" x14ac:dyDescent="0.35">
      <c r="A204" s="2" t="s">
        <v>55</v>
      </c>
      <c r="B204" s="2" t="s">
        <v>370</v>
      </c>
      <c r="C204" s="3">
        <v>250.25</v>
      </c>
      <c r="D204" s="1">
        <v>290</v>
      </c>
      <c r="E204" t="str">
        <f>VLOOKUP(A204,Sheet2!A:E,5,)</f>
        <v>CALENTER RESERVE RUM</v>
      </c>
      <c r="F204" t="s">
        <v>5</v>
      </c>
      <c r="G204" s="3">
        <v>250.25</v>
      </c>
      <c r="H204" s="1">
        <v>290</v>
      </c>
    </row>
    <row r="205" spans="1:8" x14ac:dyDescent="0.35">
      <c r="A205" s="2" t="s">
        <v>56</v>
      </c>
      <c r="B205" s="2" t="s">
        <v>369</v>
      </c>
      <c r="C205" s="3">
        <v>480.5</v>
      </c>
      <c r="D205" s="1">
        <v>540</v>
      </c>
      <c r="E205" t="str">
        <f>VLOOKUP(A205,Sheet2!A:E,5,)</f>
        <v>CALENTER RESERVE RUM</v>
      </c>
      <c r="F205" t="s">
        <v>4</v>
      </c>
      <c r="G205" s="3">
        <v>480.5</v>
      </c>
      <c r="H205" s="1">
        <v>540</v>
      </c>
    </row>
    <row r="206" spans="1:8" x14ac:dyDescent="0.35">
      <c r="A206" s="2" t="s">
        <v>482</v>
      </c>
      <c r="B206" s="2" t="s">
        <v>369</v>
      </c>
      <c r="C206" s="3">
        <v>1470.51</v>
      </c>
      <c r="D206" s="1">
        <v>1650</v>
      </c>
      <c r="E206" t="str">
        <f>VLOOKUP(A206,Sheet2!A:E,5,)</f>
        <v>CAMAS CHARDONNAY WINE</v>
      </c>
      <c r="F206" t="s">
        <v>4</v>
      </c>
      <c r="G206" s="3">
        <v>1470.51</v>
      </c>
      <c r="H206" s="1">
        <v>1650</v>
      </c>
    </row>
    <row r="207" spans="1:8" x14ac:dyDescent="0.35">
      <c r="A207" s="2" t="s">
        <v>483</v>
      </c>
      <c r="B207" s="2" t="s">
        <v>369</v>
      </c>
      <c r="C207" s="3">
        <v>1568.46</v>
      </c>
      <c r="D207" s="1">
        <v>1760</v>
      </c>
      <c r="E207" t="str">
        <f>VLOOKUP(A207,Sheet2!A:E,5,)</f>
        <v>CAMAS MALBAC</v>
      </c>
      <c r="F207" t="s">
        <v>4</v>
      </c>
      <c r="G207" s="3">
        <v>1568.46</v>
      </c>
      <c r="H207" s="1">
        <v>1760</v>
      </c>
    </row>
    <row r="208" spans="1:8" x14ac:dyDescent="0.35">
      <c r="A208" s="2" t="s">
        <v>57</v>
      </c>
      <c r="B208" s="2" t="s">
        <v>369</v>
      </c>
      <c r="C208" s="3">
        <v>1652.02</v>
      </c>
      <c r="D208" s="1">
        <v>1860</v>
      </c>
      <c r="E208" t="str">
        <f>VLOOKUP(A208,Sheet2!A:E,5,)</f>
        <v>CAMAS MALBAC ROUGE BEBOUT</v>
      </c>
      <c r="F208" t="s">
        <v>4</v>
      </c>
      <c r="G208" s="3">
        <v>1652.02</v>
      </c>
      <c r="H208" s="1">
        <v>1860</v>
      </c>
    </row>
    <row r="209" spans="1:8" x14ac:dyDescent="0.35">
      <c r="A209" s="2" t="s">
        <v>58</v>
      </c>
      <c r="B209" s="2" t="s">
        <v>369</v>
      </c>
      <c r="C209" s="3">
        <v>1659.03</v>
      </c>
      <c r="D209" s="1">
        <v>1860</v>
      </c>
      <c r="E209" t="str">
        <f>VLOOKUP(A209,Sheet2!A:E,5,)</f>
        <v>CAMAS MARLOT</v>
      </c>
      <c r="F209" t="s">
        <v>4</v>
      </c>
      <c r="G209" s="3">
        <v>1659.03</v>
      </c>
      <c r="H209" s="1">
        <v>1860</v>
      </c>
    </row>
    <row r="210" spans="1:8" x14ac:dyDescent="0.35">
      <c r="A210" s="2" t="s">
        <v>59</v>
      </c>
      <c r="B210" s="2" t="s">
        <v>369</v>
      </c>
      <c r="C210" s="3">
        <v>2053.34</v>
      </c>
      <c r="D210" s="1">
        <v>2300</v>
      </c>
      <c r="E210" t="str">
        <f>VLOOKUP(A210,Sheet2!A:E,5,)</f>
        <v>CAMAS PINOT NOIR ROUGE BEBOUT</v>
      </c>
      <c r="F210" t="s">
        <v>4</v>
      </c>
      <c r="G210" s="3">
        <v>2053.34</v>
      </c>
      <c r="H210" s="1">
        <v>2300</v>
      </c>
    </row>
    <row r="211" spans="1:8" x14ac:dyDescent="0.35">
      <c r="A211" s="2" t="s">
        <v>484</v>
      </c>
      <c r="B211" s="2" t="s">
        <v>369</v>
      </c>
      <c r="C211" s="3">
        <v>1719.94</v>
      </c>
      <c r="D211" s="1">
        <v>1930</v>
      </c>
      <c r="E211" t="str">
        <f>VLOOKUP(A211,Sheet2!A:E,5,)</f>
        <v>CAMAS SYRAH ROSE</v>
      </c>
      <c r="F211" t="s">
        <v>4</v>
      </c>
      <c r="G211" s="3">
        <v>1719.94</v>
      </c>
      <c r="H211" s="1">
        <v>1930</v>
      </c>
    </row>
    <row r="212" spans="1:8" x14ac:dyDescent="0.35">
      <c r="A212" s="2" t="s">
        <v>485</v>
      </c>
      <c r="B212" s="2" t="s">
        <v>367</v>
      </c>
      <c r="C212" s="3">
        <v>3780.04</v>
      </c>
      <c r="D212" s="1">
        <v>4240</v>
      </c>
      <c r="E212" t="str">
        <f>VLOOKUP(A212,Sheet2!A:E,5,)</f>
        <v>CAMBRIDGE DRY GIN</v>
      </c>
      <c r="F212" t="s">
        <v>4</v>
      </c>
      <c r="G212" s="3">
        <v>3780.04</v>
      </c>
      <c r="H212" s="1">
        <v>4240</v>
      </c>
    </row>
    <row r="213" spans="1:8" x14ac:dyDescent="0.35">
      <c r="A213" s="2" t="s">
        <v>486</v>
      </c>
      <c r="B213" s="2" t="s">
        <v>368</v>
      </c>
      <c r="C213" s="3">
        <v>524.54</v>
      </c>
      <c r="D213" s="1">
        <v>590</v>
      </c>
      <c r="E213" t="str">
        <f>VLOOKUP(A213,Sheet2!A:E,5,)</f>
        <v>CAMIKARA RUM CASK 3Y AGED</v>
      </c>
      <c r="F213" t="s">
        <v>374</v>
      </c>
      <c r="G213" s="3">
        <v>524.54</v>
      </c>
      <c r="H213" s="1">
        <v>590</v>
      </c>
    </row>
    <row r="214" spans="1:8" x14ac:dyDescent="0.35">
      <c r="A214" s="2" t="s">
        <v>487</v>
      </c>
      <c r="B214" s="2" t="s">
        <v>369</v>
      </c>
      <c r="C214" s="3">
        <v>2107.71</v>
      </c>
      <c r="D214" s="1">
        <v>2370</v>
      </c>
      <c r="E214" t="str">
        <f>VLOOKUP(A214,Sheet2!A:E,5,)</f>
        <v>CAMIKARA RUM CASK 3Y AGED</v>
      </c>
      <c r="F214" t="s">
        <v>4</v>
      </c>
      <c r="G214" s="3">
        <v>2107.71</v>
      </c>
      <c r="H214" s="1">
        <v>2370</v>
      </c>
    </row>
    <row r="215" spans="1:8" x14ac:dyDescent="0.35">
      <c r="A215" s="2" t="s">
        <v>60</v>
      </c>
      <c r="B215" s="2" t="s">
        <v>369</v>
      </c>
      <c r="C215" s="3">
        <v>2334.5700000000002</v>
      </c>
      <c r="D215" s="1">
        <v>2620</v>
      </c>
      <c r="E215" t="str">
        <f>VLOOKUP(A215,Sheet2!A:E,5,)</f>
        <v>CAMPARI</v>
      </c>
      <c r="F215" t="s">
        <v>4</v>
      </c>
      <c r="G215" s="3">
        <v>2334.5700000000002</v>
      </c>
      <c r="H215" s="1">
        <v>2620</v>
      </c>
    </row>
    <row r="216" spans="1:8" x14ac:dyDescent="0.35">
      <c r="A216" s="2" t="s">
        <v>61</v>
      </c>
      <c r="B216" s="2" t="s">
        <v>370</v>
      </c>
      <c r="C216" s="3">
        <v>1781.69</v>
      </c>
      <c r="D216" s="1">
        <v>2000</v>
      </c>
      <c r="E216" t="str">
        <f>VLOOKUP(A216,Sheet2!A:E,5,)</f>
        <v>CAMPARI NEGRONI</v>
      </c>
      <c r="F216" t="s">
        <v>5</v>
      </c>
      <c r="G216" s="3">
        <v>1781.69</v>
      </c>
      <c r="H216" s="1">
        <v>2000</v>
      </c>
    </row>
    <row r="217" spans="1:8" x14ac:dyDescent="0.35">
      <c r="A217" s="2" t="s">
        <v>488</v>
      </c>
      <c r="B217" s="2" t="s">
        <v>369</v>
      </c>
      <c r="C217" s="3">
        <v>1765.22</v>
      </c>
      <c r="D217" s="1">
        <v>1980</v>
      </c>
      <c r="E217" t="str">
        <f>VLOOKUP(A217,Sheet2!A:E,5,)</f>
        <v>CAMPARI NEGRONI</v>
      </c>
      <c r="F217" t="s">
        <v>4</v>
      </c>
      <c r="G217" s="3">
        <v>1765.22</v>
      </c>
      <c r="H217" s="1">
        <v>1980</v>
      </c>
    </row>
    <row r="218" spans="1:8" x14ac:dyDescent="0.35">
      <c r="A218" s="2" t="s">
        <v>489</v>
      </c>
      <c r="B218" s="2" t="s">
        <v>369</v>
      </c>
      <c r="C218" s="3">
        <v>2009.26</v>
      </c>
      <c r="D218" s="1">
        <v>2260</v>
      </c>
      <c r="E218" t="str">
        <f>VLOOKUP(A218,Sheet2!A:E,5,)</f>
        <v>CAMPO VIEJO RIOJA TEMPRANILLO</v>
      </c>
      <c r="F218" t="s">
        <v>4</v>
      </c>
      <c r="G218" s="3">
        <v>2009.26</v>
      </c>
      <c r="H218" s="1">
        <v>2260</v>
      </c>
    </row>
    <row r="219" spans="1:8" x14ac:dyDescent="0.35">
      <c r="A219" s="2" t="s">
        <v>490</v>
      </c>
      <c r="B219" s="2" t="s">
        <v>368</v>
      </c>
      <c r="C219" s="3">
        <v>177.39</v>
      </c>
      <c r="D219" s="1">
        <v>200</v>
      </c>
      <c r="E219" t="str">
        <f>VLOOKUP(A219,Sheet2!A:E,5,)</f>
        <v>CANVAS CRANBERRY/APPLE VODKA</v>
      </c>
      <c r="F219" t="s">
        <v>374</v>
      </c>
      <c r="G219" s="3">
        <v>177.39</v>
      </c>
      <c r="H219" s="1">
        <v>200</v>
      </c>
    </row>
    <row r="220" spans="1:8" x14ac:dyDescent="0.35">
      <c r="A220" s="2" t="s">
        <v>491</v>
      </c>
      <c r="B220" s="2" t="s">
        <v>370</v>
      </c>
      <c r="C220" s="3">
        <v>343.44</v>
      </c>
      <c r="D220" s="1">
        <v>390</v>
      </c>
      <c r="E220" t="str">
        <f>VLOOKUP(A220,Sheet2!A:E,5,)</f>
        <v>CANVAS CRANBERRY/APPLE VODKA</v>
      </c>
      <c r="F220" t="s">
        <v>5</v>
      </c>
      <c r="G220" s="3">
        <v>343.44</v>
      </c>
      <c r="H220" s="1">
        <v>390</v>
      </c>
    </row>
    <row r="221" spans="1:8" x14ac:dyDescent="0.35">
      <c r="A221" s="2" t="s">
        <v>492</v>
      </c>
      <c r="B221" s="2" t="s">
        <v>369</v>
      </c>
      <c r="C221" s="3">
        <v>666.6</v>
      </c>
      <c r="D221" s="1">
        <v>750</v>
      </c>
      <c r="E221" t="str">
        <f>VLOOKUP(A221,Sheet2!A:E,5,)</f>
        <v>CANVAS CRANBERRY/APPLE VODKA</v>
      </c>
      <c r="F221" t="s">
        <v>4</v>
      </c>
      <c r="G221" s="3">
        <v>666.6</v>
      </c>
      <c r="H221" s="1">
        <v>750</v>
      </c>
    </row>
    <row r="222" spans="1:8" x14ac:dyDescent="0.35">
      <c r="A222" s="2" t="s">
        <v>493</v>
      </c>
      <c r="B222" s="2" t="s">
        <v>368</v>
      </c>
      <c r="C222" s="3">
        <v>467.23</v>
      </c>
      <c r="D222" s="1">
        <v>530</v>
      </c>
      <c r="E222" t="str">
        <f>VLOOKUP(A222,Sheet2!A:E,5,)</f>
        <v>CANVAS LIMONE CITRUS RUM</v>
      </c>
      <c r="F222" t="s">
        <v>374</v>
      </c>
      <c r="G222" s="3">
        <v>467.23</v>
      </c>
      <c r="H222" s="1">
        <v>530</v>
      </c>
    </row>
    <row r="223" spans="1:8" x14ac:dyDescent="0.35">
      <c r="A223" s="2" t="s">
        <v>493</v>
      </c>
      <c r="B223" s="2" t="s">
        <v>370</v>
      </c>
      <c r="C223" s="3">
        <v>371.85</v>
      </c>
      <c r="D223" s="1">
        <v>420</v>
      </c>
      <c r="E223" t="str">
        <f>VLOOKUP(A223,Sheet2!A:E,5,)</f>
        <v>CANVAS LIMONE CITRUS RUM</v>
      </c>
      <c r="F223" t="s">
        <v>5</v>
      </c>
      <c r="G223" s="3">
        <v>371.85</v>
      </c>
      <c r="H223" s="1">
        <v>420</v>
      </c>
    </row>
    <row r="224" spans="1:8" x14ac:dyDescent="0.35">
      <c r="A224" s="2" t="s">
        <v>493</v>
      </c>
      <c r="B224" s="2" t="s">
        <v>369</v>
      </c>
      <c r="C224" s="3">
        <v>723.69</v>
      </c>
      <c r="D224" s="1">
        <v>820</v>
      </c>
      <c r="E224" t="str">
        <f>VLOOKUP(A224,Sheet2!A:E,5,)</f>
        <v>CANVAS LIMONE CITRUS RUM</v>
      </c>
      <c r="F224" t="s">
        <v>4</v>
      </c>
      <c r="G224" s="3">
        <v>723.69</v>
      </c>
      <c r="H224" s="1">
        <v>820</v>
      </c>
    </row>
    <row r="225" spans="1:8" x14ac:dyDescent="0.35">
      <c r="A225" s="2" t="s">
        <v>494</v>
      </c>
      <c r="B225" s="2" t="s">
        <v>368</v>
      </c>
      <c r="C225" s="3">
        <v>162.52000000000001</v>
      </c>
      <c r="D225" s="1">
        <v>190</v>
      </c>
      <c r="E225" t="str">
        <f>VLOOKUP(A225,Sheet2!A:E,5,)</f>
        <v>CANVAS PURE VODKA</v>
      </c>
      <c r="F225" t="s">
        <v>374</v>
      </c>
      <c r="G225" s="3">
        <v>162.52000000000001</v>
      </c>
      <c r="H225" s="1">
        <v>190</v>
      </c>
    </row>
    <row r="226" spans="1:8" x14ac:dyDescent="0.35">
      <c r="A226" s="2" t="s">
        <v>495</v>
      </c>
      <c r="B226" s="2" t="s">
        <v>370</v>
      </c>
      <c r="C226" s="3">
        <v>319.95</v>
      </c>
      <c r="D226" s="1">
        <v>360</v>
      </c>
      <c r="E226" t="str">
        <f>VLOOKUP(A226,Sheet2!A:E,5,)</f>
        <v>CANVAS PURE VODKA</v>
      </c>
      <c r="F226" t="s">
        <v>5</v>
      </c>
      <c r="G226" s="3">
        <v>319.95</v>
      </c>
      <c r="H226" s="1">
        <v>360</v>
      </c>
    </row>
    <row r="227" spans="1:8" x14ac:dyDescent="0.35">
      <c r="A227" s="2" t="s">
        <v>496</v>
      </c>
      <c r="B227" s="2" t="s">
        <v>369</v>
      </c>
      <c r="C227" s="3">
        <v>621.16</v>
      </c>
      <c r="D227" s="1">
        <v>700</v>
      </c>
      <c r="E227" t="str">
        <f>VLOOKUP(A227,Sheet2!A:E,5,)</f>
        <v>CANVAS PURE VODKA</v>
      </c>
      <c r="F227" t="s">
        <v>4</v>
      </c>
      <c r="G227" s="3">
        <v>621.16</v>
      </c>
      <c r="H227" s="1">
        <v>700</v>
      </c>
    </row>
    <row r="228" spans="1:8" x14ac:dyDescent="0.35">
      <c r="A228" s="2" t="s">
        <v>497</v>
      </c>
      <c r="B228" s="2" t="s">
        <v>369</v>
      </c>
      <c r="C228" s="3">
        <v>4848.8900000000003</v>
      </c>
      <c r="D228" s="1">
        <v>5440</v>
      </c>
      <c r="E228" t="str">
        <f>VLOOKUP(A228,Sheet2!A:E,5,)</f>
        <v>CAOLILA 12Y ISLAY SINGLE MALT</v>
      </c>
      <c r="F228" t="s">
        <v>4</v>
      </c>
      <c r="G228" s="3">
        <v>4848.8900000000003</v>
      </c>
      <c r="H228" s="1">
        <v>5440</v>
      </c>
    </row>
    <row r="229" spans="1:8" x14ac:dyDescent="0.35">
      <c r="A229" s="2" t="s">
        <v>62</v>
      </c>
      <c r="B229" s="2" t="s">
        <v>368</v>
      </c>
      <c r="C229" s="3">
        <v>138.47999999999999</v>
      </c>
      <c r="D229" s="1">
        <v>160</v>
      </c>
      <c r="E229" t="str">
        <f>VLOOKUP(A229,Sheet2!A:E,5,)</f>
        <v>CAPTAIN MORGAN RUM</v>
      </c>
      <c r="F229" t="s">
        <v>374</v>
      </c>
      <c r="G229" s="3">
        <v>138.47999999999999</v>
      </c>
      <c r="H229" s="1">
        <v>160</v>
      </c>
    </row>
    <row r="230" spans="1:8" x14ac:dyDescent="0.35">
      <c r="A230" s="2" t="s">
        <v>63</v>
      </c>
      <c r="B230" s="2" t="s">
        <v>370</v>
      </c>
      <c r="C230" s="3">
        <v>275.91000000000003</v>
      </c>
      <c r="D230" s="1">
        <v>310</v>
      </c>
      <c r="E230" t="str">
        <f>VLOOKUP(A230,Sheet2!A:E,5,)</f>
        <v>CAPTAIN MORGAN RUM</v>
      </c>
      <c r="F230" t="s">
        <v>5</v>
      </c>
      <c r="G230" s="3">
        <v>275.91000000000003</v>
      </c>
      <c r="H230" s="1">
        <v>310</v>
      </c>
    </row>
    <row r="231" spans="1:8" x14ac:dyDescent="0.35">
      <c r="A231" s="2" t="s">
        <v>64</v>
      </c>
      <c r="B231" s="2" t="s">
        <v>369</v>
      </c>
      <c r="C231" s="3">
        <v>522.37</v>
      </c>
      <c r="D231" s="1">
        <v>590</v>
      </c>
      <c r="E231" t="str">
        <f>VLOOKUP(A231,Sheet2!A:E,5,)</f>
        <v>CAPTAIN MORGAN RUM</v>
      </c>
      <c r="F231" t="s">
        <v>4</v>
      </c>
      <c r="G231" s="3">
        <v>522.37</v>
      </c>
      <c r="H231" s="1">
        <v>590</v>
      </c>
    </row>
    <row r="232" spans="1:8" x14ac:dyDescent="0.35">
      <c r="A232" s="2" t="s">
        <v>65</v>
      </c>
      <c r="B232" s="2" t="s">
        <v>369</v>
      </c>
      <c r="C232" s="3">
        <v>2131.73</v>
      </c>
      <c r="D232" s="1">
        <v>2390</v>
      </c>
      <c r="E232" t="str">
        <f>VLOOKUP(A232,Sheet2!A:E,5,)</f>
        <v>CASCO SILVER</v>
      </c>
      <c r="F232" t="s">
        <v>4</v>
      </c>
      <c r="G232" s="3">
        <v>2131.73</v>
      </c>
      <c r="H232" s="1">
        <v>2390</v>
      </c>
    </row>
    <row r="233" spans="1:8" x14ac:dyDescent="0.35">
      <c r="A233" s="2" t="s">
        <v>498</v>
      </c>
      <c r="B233" s="2" t="s">
        <v>369</v>
      </c>
      <c r="C233" s="3">
        <v>2276.2600000000002</v>
      </c>
      <c r="D233" s="1">
        <v>2550</v>
      </c>
      <c r="E233" t="str">
        <f>VLOOKUP(A233,Sheet2!A:E,5,)</f>
        <v>CASHMIR VODKA</v>
      </c>
      <c r="F233" t="s">
        <v>4</v>
      </c>
      <c r="G233" s="3">
        <v>2276.2600000000002</v>
      </c>
      <c r="H233" s="1">
        <v>2550</v>
      </c>
    </row>
    <row r="234" spans="1:8" x14ac:dyDescent="0.35">
      <c r="A234" s="2" t="s">
        <v>499</v>
      </c>
      <c r="B234" s="2" t="s">
        <v>368</v>
      </c>
      <c r="C234" s="3">
        <v>103.71</v>
      </c>
      <c r="D234" s="1">
        <v>120</v>
      </c>
      <c r="E234" t="str">
        <f>VLOOKUP(A234,Sheet2!A:E,5,)</f>
        <v>CASH WHISKY</v>
      </c>
      <c r="F234" t="s">
        <v>374</v>
      </c>
      <c r="G234" s="3">
        <v>103.71</v>
      </c>
      <c r="H234" s="1">
        <v>120</v>
      </c>
    </row>
    <row r="235" spans="1:8" x14ac:dyDescent="0.35">
      <c r="A235" s="2" t="s">
        <v>66</v>
      </c>
      <c r="B235" s="2" t="s">
        <v>369</v>
      </c>
      <c r="C235" s="3">
        <v>2265.38</v>
      </c>
      <c r="D235" s="1">
        <v>2540</v>
      </c>
      <c r="E235" t="str">
        <f>VLOOKUP(A235,Sheet2!A:E,5,)</f>
        <v>CHANDON BRUT CUVEE</v>
      </c>
      <c r="F235" t="s">
        <v>4</v>
      </c>
      <c r="G235" s="3">
        <v>2265.38</v>
      </c>
      <c r="H235" s="1">
        <v>2540</v>
      </c>
    </row>
    <row r="236" spans="1:8" x14ac:dyDescent="0.35">
      <c r="A236" s="2" t="s">
        <v>67</v>
      </c>
      <c r="B236" s="2" t="s">
        <v>369</v>
      </c>
      <c r="C236" s="3">
        <v>2748.19</v>
      </c>
      <c r="D236" s="1">
        <v>3080</v>
      </c>
      <c r="E236" t="str">
        <f>VLOOKUP(A236,Sheet2!A:E,5,)</f>
        <v>CHAPOUTIER BELLERUCHE COTES/BLANC</v>
      </c>
      <c r="F236" t="s">
        <v>4</v>
      </c>
      <c r="G236" s="3">
        <v>2748.19</v>
      </c>
      <c r="H236" s="1">
        <v>3080</v>
      </c>
    </row>
    <row r="237" spans="1:8" x14ac:dyDescent="0.35">
      <c r="A237" s="2" t="s">
        <v>500</v>
      </c>
      <c r="B237" s="2" t="s">
        <v>369</v>
      </c>
      <c r="C237" s="3">
        <v>2512.86</v>
      </c>
      <c r="D237" s="1">
        <v>2820</v>
      </c>
      <c r="E237" t="str">
        <f>VLOOKUP(A237,Sheet2!A:E,5,)</f>
        <v>CHAPOUTIER DU HAPR DAPES</v>
      </c>
      <c r="F237" t="s">
        <v>4</v>
      </c>
      <c r="G237" s="3">
        <v>2512.86</v>
      </c>
      <c r="H237" s="1">
        <v>2820</v>
      </c>
    </row>
    <row r="238" spans="1:8" x14ac:dyDescent="0.35">
      <c r="A238" s="2" t="s">
        <v>501</v>
      </c>
      <c r="B238" s="2" t="s">
        <v>369</v>
      </c>
      <c r="C238" s="3">
        <v>8943.41</v>
      </c>
      <c r="D238" s="1">
        <v>10020</v>
      </c>
      <c r="E238" t="str">
        <f>VLOOKUP(A238,Sheet2!A:E,5,)</f>
        <v>CHAPOUTIER LA BERNARDINAE</v>
      </c>
      <c r="F238" t="s">
        <v>4</v>
      </c>
      <c r="G238" s="3">
        <v>8943.41</v>
      </c>
      <c r="H238" s="1">
        <v>10020</v>
      </c>
    </row>
    <row r="239" spans="1:8" x14ac:dyDescent="0.35">
      <c r="A239" s="2" t="s">
        <v>68</v>
      </c>
      <c r="B239" s="2" t="s">
        <v>369</v>
      </c>
      <c r="C239" s="3">
        <v>9075.7000000000007</v>
      </c>
      <c r="D239" s="1">
        <v>10170</v>
      </c>
      <c r="E239" t="str">
        <f>VLOOKUP(A239,Sheet2!A:E,5,)</f>
        <v>CHAPOUTIER LA BERNARDINE</v>
      </c>
      <c r="F239" t="s">
        <v>4</v>
      </c>
      <c r="G239" s="3">
        <v>9075.7000000000007</v>
      </c>
      <c r="H239" s="1">
        <v>10170</v>
      </c>
    </row>
    <row r="240" spans="1:8" x14ac:dyDescent="0.35">
      <c r="A240" s="2" t="s">
        <v>502</v>
      </c>
      <c r="B240" s="2" t="s">
        <v>369</v>
      </c>
      <c r="C240" s="3">
        <v>1669.67</v>
      </c>
      <c r="D240" s="1">
        <v>1880</v>
      </c>
      <c r="E240" t="str">
        <f>VLOOKUP(A240,Sheet2!A:E,5,)</f>
        <v>CHAPOUTIER MARIUS ROUGH</v>
      </c>
      <c r="F240" t="s">
        <v>4</v>
      </c>
      <c r="G240" s="3">
        <v>1669.67</v>
      </c>
      <c r="H240" s="1">
        <v>1880</v>
      </c>
    </row>
    <row r="241" spans="1:8" x14ac:dyDescent="0.35">
      <c r="A241" s="2" t="s">
        <v>69</v>
      </c>
      <c r="B241" s="2" t="s">
        <v>369</v>
      </c>
      <c r="C241" s="3">
        <v>5198.3500000000004</v>
      </c>
      <c r="D241" s="1">
        <v>5830</v>
      </c>
      <c r="E241" t="str">
        <f>VLOOKUP(A241,Sheet2!A:E,5,)</f>
        <v>CHEMIN DAS PAPES CHATEAUNEUF</v>
      </c>
      <c r="F241" t="s">
        <v>4</v>
      </c>
      <c r="G241" s="3">
        <v>5198.3500000000004</v>
      </c>
      <c r="H241" s="1">
        <v>5830</v>
      </c>
    </row>
    <row r="242" spans="1:8" x14ac:dyDescent="0.35">
      <c r="A242" s="2" t="s">
        <v>503</v>
      </c>
      <c r="B242" s="2" t="s">
        <v>368</v>
      </c>
      <c r="C242" s="3">
        <v>833.36</v>
      </c>
      <c r="D242" s="1">
        <v>940</v>
      </c>
      <c r="E242" t="str">
        <f>VLOOKUP(A242,Sheet2!A:E,5,)</f>
        <v>CHIVAS REGAL 12 YEAR</v>
      </c>
      <c r="F242" t="s">
        <v>374</v>
      </c>
      <c r="G242" s="3">
        <v>833.36</v>
      </c>
      <c r="H242" s="1">
        <v>940</v>
      </c>
    </row>
    <row r="243" spans="1:8" x14ac:dyDescent="0.35">
      <c r="A243" s="2" t="s">
        <v>70</v>
      </c>
      <c r="B243" s="2" t="s">
        <v>369</v>
      </c>
      <c r="C243" s="3">
        <v>2713.8</v>
      </c>
      <c r="D243" s="1">
        <v>3040</v>
      </c>
      <c r="E243" t="str">
        <f>VLOOKUP(A243,Sheet2!A:E,5,)</f>
        <v>CHIVAS REGAL 12 YEAR</v>
      </c>
      <c r="F243" t="s">
        <v>4</v>
      </c>
      <c r="G243" s="3">
        <v>2713.8</v>
      </c>
      <c r="H243" s="1">
        <v>3040</v>
      </c>
    </row>
    <row r="244" spans="1:8" x14ac:dyDescent="0.35">
      <c r="A244" s="2" t="s">
        <v>71</v>
      </c>
      <c r="B244" s="2" t="s">
        <v>369</v>
      </c>
      <c r="C244" s="3">
        <v>4235.88</v>
      </c>
      <c r="D244" s="1">
        <v>4750</v>
      </c>
      <c r="E244" t="str">
        <f>VLOOKUP(A244,Sheet2!A:E,5,)</f>
        <v>CHIVAS REGAL 15 YEAR (4)</v>
      </c>
      <c r="F244" t="s">
        <v>4</v>
      </c>
      <c r="G244" s="3">
        <v>4235.88</v>
      </c>
      <c r="H244" s="1">
        <v>4750</v>
      </c>
    </row>
    <row r="245" spans="1:8" x14ac:dyDescent="0.35">
      <c r="A245" s="2" t="s">
        <v>72</v>
      </c>
      <c r="B245" s="2" t="s">
        <v>369</v>
      </c>
      <c r="C245" s="3">
        <v>5196.24</v>
      </c>
      <c r="D245" s="1">
        <v>5820</v>
      </c>
      <c r="E245" t="str">
        <f>VLOOKUP(A245,Sheet2!A:E,5,)</f>
        <v>CHIVAS REGAL 18 YEAR</v>
      </c>
      <c r="F245" t="s">
        <v>4</v>
      </c>
      <c r="G245" s="3">
        <v>5196.24</v>
      </c>
      <c r="H245" s="1">
        <v>5820</v>
      </c>
    </row>
    <row r="246" spans="1:8" x14ac:dyDescent="0.35">
      <c r="A246" s="2" t="s">
        <v>73</v>
      </c>
      <c r="B246" s="2" t="s">
        <v>367</v>
      </c>
      <c r="C246" s="3">
        <v>15880.11</v>
      </c>
      <c r="D246" s="1">
        <v>17790</v>
      </c>
      <c r="E246" t="str">
        <f>VLOOKUP(A246,Sheet2!A:E,5,)</f>
        <v>CHIVAS REGAL 25 YEAR</v>
      </c>
      <c r="F246" t="s">
        <v>4</v>
      </c>
      <c r="G246" s="3">
        <v>15880.11</v>
      </c>
      <c r="H246" s="1">
        <v>17790</v>
      </c>
    </row>
    <row r="247" spans="1:8" x14ac:dyDescent="0.35">
      <c r="A247" s="2" t="s">
        <v>504</v>
      </c>
      <c r="B247" s="2" t="s">
        <v>369</v>
      </c>
      <c r="C247" s="3">
        <v>1580</v>
      </c>
      <c r="D247" s="1">
        <v>1770</v>
      </c>
      <c r="E247" t="str">
        <f>VLOOKUP(A247,Sheet2!A:E,5,)</f>
        <v>CINZANO LIQUER</v>
      </c>
      <c r="F247" t="s">
        <v>4</v>
      </c>
      <c r="G247" s="3">
        <v>1580</v>
      </c>
      <c r="H247" s="1">
        <v>1770</v>
      </c>
    </row>
    <row r="248" spans="1:8" x14ac:dyDescent="0.35">
      <c r="A248" s="2" t="s">
        <v>74</v>
      </c>
      <c r="B248" s="2" t="s">
        <v>369</v>
      </c>
      <c r="C248" s="3">
        <v>1692.32</v>
      </c>
      <c r="D248" s="1">
        <v>1900</v>
      </c>
      <c r="E248" t="str">
        <f>VLOOKUP(A248,Sheet2!A:E,5,)</f>
        <v>CINZANO PROSECCO WINE</v>
      </c>
      <c r="F248" t="s">
        <v>4</v>
      </c>
      <c r="G248" s="3">
        <v>1692.32</v>
      </c>
      <c r="H248" s="1">
        <v>1900</v>
      </c>
    </row>
    <row r="249" spans="1:8" x14ac:dyDescent="0.35">
      <c r="A249" s="2" t="s">
        <v>505</v>
      </c>
      <c r="B249" s="2" t="s">
        <v>369</v>
      </c>
      <c r="C249" s="3">
        <v>2352.21</v>
      </c>
      <c r="D249" s="1">
        <v>2640</v>
      </c>
      <c r="E249" t="str">
        <f>VLOOKUP(A249,Sheet2!A:E,5,)</f>
        <v>CINZANO ROSE EDITION</v>
      </c>
      <c r="F249" t="s">
        <v>4</v>
      </c>
      <c r="G249" s="3">
        <v>2352.21</v>
      </c>
      <c r="H249" s="1">
        <v>2640</v>
      </c>
    </row>
    <row r="250" spans="1:8" x14ac:dyDescent="0.35">
      <c r="A250" s="2" t="s">
        <v>506</v>
      </c>
      <c r="B250" s="2" t="s">
        <v>369</v>
      </c>
      <c r="C250" s="3">
        <v>1621.26</v>
      </c>
      <c r="D250" s="1">
        <v>1820</v>
      </c>
      <c r="E250" t="str">
        <f>VLOOKUP(A250,Sheet2!A:E,5,)</f>
        <v>CINZANO ROSE EDTION SWEET</v>
      </c>
      <c r="F250" t="s">
        <v>4</v>
      </c>
      <c r="G250" s="3">
        <v>1621.26</v>
      </c>
      <c r="H250" s="1">
        <v>1820</v>
      </c>
    </row>
    <row r="251" spans="1:8" x14ac:dyDescent="0.35">
      <c r="A251" s="2" t="s">
        <v>507</v>
      </c>
      <c r="B251" s="2" t="s">
        <v>369</v>
      </c>
      <c r="C251" s="3">
        <v>1543.89</v>
      </c>
      <c r="D251" s="1">
        <v>1730</v>
      </c>
      <c r="E251" t="str">
        <f>VLOOKUP(A251,Sheet2!A:E,5,)</f>
        <v>CINZANO VERMOUTH ROSSO</v>
      </c>
      <c r="F251" t="s">
        <v>4</v>
      </c>
      <c r="G251" s="3">
        <v>1543.89</v>
      </c>
      <c r="H251" s="1">
        <v>1730</v>
      </c>
    </row>
    <row r="252" spans="1:8" x14ac:dyDescent="0.35">
      <c r="A252" s="2" t="s">
        <v>75</v>
      </c>
      <c r="B252" s="2" t="s">
        <v>369</v>
      </c>
      <c r="C252" s="3">
        <v>3188.56</v>
      </c>
      <c r="D252" s="1">
        <v>3580</v>
      </c>
      <c r="E252" t="str">
        <f>VLOOKUP(A252,Sheet2!A:E,5,)</f>
        <v>CIROC VODKA</v>
      </c>
      <c r="F252" t="s">
        <v>4</v>
      </c>
      <c r="G252" s="3">
        <v>3188.56</v>
      </c>
      <c r="H252" s="1">
        <v>3580</v>
      </c>
    </row>
    <row r="253" spans="1:8" x14ac:dyDescent="0.35">
      <c r="A253" s="2" t="s">
        <v>508</v>
      </c>
      <c r="B253" s="2" t="s">
        <v>369</v>
      </c>
      <c r="C253" s="3">
        <v>1354.73</v>
      </c>
      <c r="D253" s="1">
        <v>1520</v>
      </c>
      <c r="E253" t="str">
        <f>VLOOKUP(A253,Sheet2!A:E,5,)</f>
        <v>COSECHA CABERNET SAUVIGNON</v>
      </c>
      <c r="F253" t="s">
        <v>4</v>
      </c>
      <c r="G253" s="3">
        <v>1354.73</v>
      </c>
      <c r="H253" s="1">
        <v>1520</v>
      </c>
    </row>
    <row r="254" spans="1:8" x14ac:dyDescent="0.35">
      <c r="A254" s="2" t="s">
        <v>509</v>
      </c>
      <c r="B254" s="2" t="s">
        <v>372</v>
      </c>
      <c r="C254" s="3">
        <v>215.45</v>
      </c>
      <c r="D254" s="1">
        <v>250</v>
      </c>
      <c r="E254" t="str">
        <f>VLOOKUP(A254,Sheet2!A:E,5,)</f>
        <v>CRAFTER STAMP</v>
      </c>
      <c r="F254" t="s">
        <v>374</v>
      </c>
      <c r="G254" s="3">
        <v>215.45</v>
      </c>
      <c r="H254" s="1">
        <v>250</v>
      </c>
    </row>
    <row r="255" spans="1:8" x14ac:dyDescent="0.35">
      <c r="A255" s="2" t="s">
        <v>510</v>
      </c>
      <c r="B255" s="2" t="s">
        <v>370</v>
      </c>
      <c r="C255" s="3">
        <v>423.6</v>
      </c>
      <c r="D255" s="1">
        <v>480</v>
      </c>
      <c r="E255" t="str">
        <f>VLOOKUP(A255,Sheet2!A:E,5,)</f>
        <v>CRAFTER STAMP</v>
      </c>
      <c r="F255" t="s">
        <v>5</v>
      </c>
      <c r="G255" s="3">
        <v>423.6</v>
      </c>
      <c r="H255" s="1">
        <v>480</v>
      </c>
    </row>
    <row r="256" spans="1:8" x14ac:dyDescent="0.35">
      <c r="A256" s="2" t="s">
        <v>511</v>
      </c>
      <c r="B256" s="2" t="s">
        <v>369</v>
      </c>
      <c r="C256" s="3">
        <v>839.78</v>
      </c>
      <c r="D256" s="1">
        <v>950</v>
      </c>
      <c r="E256" t="str">
        <f>VLOOKUP(A256,Sheet2!A:E,5,)</f>
        <v>CRAFTER STAMP</v>
      </c>
      <c r="F256" t="s">
        <v>4</v>
      </c>
      <c r="G256" s="3">
        <v>839.78</v>
      </c>
      <c r="H256" s="1">
        <v>950</v>
      </c>
    </row>
    <row r="257" spans="1:8" x14ac:dyDescent="0.35">
      <c r="A257" s="2" t="s">
        <v>76</v>
      </c>
      <c r="B257" s="2" t="s">
        <v>369</v>
      </c>
      <c r="C257" s="3">
        <v>7010.45</v>
      </c>
      <c r="D257" s="1">
        <v>7860</v>
      </c>
      <c r="E257" t="str">
        <f>VLOOKUP(A257,Sheet2!A:E,5,)</f>
        <v>CRYSTEL HEAD VODKA</v>
      </c>
      <c r="F257" t="s">
        <v>4</v>
      </c>
      <c r="G257" s="3">
        <v>7010.45</v>
      </c>
      <c r="H257" s="1">
        <v>7860</v>
      </c>
    </row>
    <row r="258" spans="1:8" x14ac:dyDescent="0.35">
      <c r="A258" s="2" t="s">
        <v>77</v>
      </c>
      <c r="B258" s="2" t="s">
        <v>369</v>
      </c>
      <c r="C258" s="3">
        <v>5032.17</v>
      </c>
      <c r="D258" s="1">
        <v>5640</v>
      </c>
      <c r="E258" t="str">
        <f>VLOOKUP(A258,Sheet2!A:E,5,)</f>
        <v>DALWHINNIE SINGAL 15 YEAR</v>
      </c>
      <c r="F258" t="s">
        <v>4</v>
      </c>
      <c r="G258" s="3">
        <v>5032.17</v>
      </c>
      <c r="H258" s="1">
        <v>5640</v>
      </c>
    </row>
    <row r="259" spans="1:8" x14ac:dyDescent="0.35">
      <c r="A259" s="2" t="s">
        <v>512</v>
      </c>
      <c r="B259" s="2" t="s">
        <v>369</v>
      </c>
      <c r="C259" s="3">
        <v>428.11</v>
      </c>
      <c r="D259" s="1">
        <v>480</v>
      </c>
      <c r="E259" t="str">
        <f>VLOOKUP(A259,Sheet2!A:E,5,)</f>
        <v>DEVANS GAIN SINGLE MALT</v>
      </c>
      <c r="F259" t="s">
        <v>4</v>
      </c>
      <c r="G259" s="3">
        <v>428.11</v>
      </c>
      <c r="H259" s="1">
        <v>480</v>
      </c>
    </row>
    <row r="260" spans="1:8" x14ac:dyDescent="0.35">
      <c r="A260" s="2" t="s">
        <v>513</v>
      </c>
      <c r="B260" s="2" t="s">
        <v>369</v>
      </c>
      <c r="C260" s="3">
        <v>2749.79</v>
      </c>
      <c r="D260" s="1">
        <v>3080</v>
      </c>
      <c r="E260" t="str">
        <f>VLOOKUP(A260,Sheet2!A:E,5,)</f>
        <v>DEWAR 12YO BURBEN CAS</v>
      </c>
      <c r="F260" t="s">
        <v>4</v>
      </c>
      <c r="G260" s="3">
        <v>2749.79</v>
      </c>
      <c r="H260" s="1">
        <v>3080</v>
      </c>
    </row>
    <row r="261" spans="1:8" x14ac:dyDescent="0.35">
      <c r="A261" s="2" t="s">
        <v>514</v>
      </c>
      <c r="B261" s="2" t="s">
        <v>369</v>
      </c>
      <c r="C261" s="3">
        <v>5703.61</v>
      </c>
      <c r="D261" s="1">
        <v>6390</v>
      </c>
      <c r="E261" t="str">
        <f>VLOOKUP(A261,Sheet2!A:E,5,)</f>
        <v>DEWAR 18YO</v>
      </c>
      <c r="F261" t="s">
        <v>4</v>
      </c>
      <c r="G261" s="3">
        <v>5703.61</v>
      </c>
      <c r="H261" s="1">
        <v>6390</v>
      </c>
    </row>
    <row r="262" spans="1:8" x14ac:dyDescent="0.35">
      <c r="A262" s="2" t="s">
        <v>515</v>
      </c>
      <c r="B262" s="2" t="s">
        <v>369</v>
      </c>
      <c r="C262" s="3">
        <v>2747.33</v>
      </c>
      <c r="D262" s="1">
        <v>3080</v>
      </c>
      <c r="E262" t="str">
        <f>VLOOKUP(A262,Sheet2!A:E,5,)</f>
        <v>DEWAR S 12Y</v>
      </c>
      <c r="F262" t="s">
        <v>4</v>
      </c>
      <c r="G262" s="3">
        <v>2747.33</v>
      </c>
      <c r="H262" s="1">
        <v>3080</v>
      </c>
    </row>
    <row r="263" spans="1:8" x14ac:dyDescent="0.35">
      <c r="A263" s="2" t="s">
        <v>78</v>
      </c>
      <c r="B263" s="2" t="s">
        <v>369</v>
      </c>
      <c r="C263" s="3">
        <v>3025.04</v>
      </c>
      <c r="D263" s="1">
        <v>3390</v>
      </c>
      <c r="E263" t="str">
        <f>VLOOKUP(A263,Sheet2!A:E,5,)</f>
        <v>DEWAR S 15Y</v>
      </c>
      <c r="F263" t="s">
        <v>4</v>
      </c>
      <c r="G263" s="3">
        <v>3025.04</v>
      </c>
      <c r="H263" s="1">
        <v>3390</v>
      </c>
    </row>
    <row r="264" spans="1:8" x14ac:dyDescent="0.35">
      <c r="A264" s="2" t="s">
        <v>516</v>
      </c>
      <c r="B264" s="2" t="s">
        <v>370</v>
      </c>
      <c r="C264" s="3">
        <v>7657.87</v>
      </c>
      <c r="D264" s="1">
        <v>8580</v>
      </c>
      <c r="E264" t="str">
        <f>VLOOKUP(A264,Sheet2!A:E,5,)</f>
        <v>DEWARS BLENDED SCOTCH DOUBLE AGED 21 YEARS</v>
      </c>
      <c r="F264" t="s">
        <v>5</v>
      </c>
      <c r="G264" s="3">
        <v>7657.87</v>
      </c>
      <c r="H264" s="1">
        <v>8580</v>
      </c>
    </row>
    <row r="265" spans="1:8" x14ac:dyDescent="0.35">
      <c r="A265" s="2" t="s">
        <v>517</v>
      </c>
      <c r="B265" s="2" t="s">
        <v>370</v>
      </c>
      <c r="C265" s="3">
        <v>11019.1</v>
      </c>
      <c r="D265" s="1">
        <v>12350</v>
      </c>
      <c r="E265" t="str">
        <f>VLOOKUP(A265,Sheet2!A:E,5,)</f>
        <v>DEWARS BLENDED SCOTCH WHISKY DOUBLE AGED 27 Y</v>
      </c>
      <c r="F265" t="s">
        <v>5</v>
      </c>
      <c r="G265" s="3">
        <v>11019.1</v>
      </c>
      <c r="H265" s="1">
        <v>12350</v>
      </c>
    </row>
    <row r="266" spans="1:8" x14ac:dyDescent="0.35">
      <c r="A266" s="4" t="s">
        <v>946</v>
      </c>
      <c r="B266" s="2" t="s">
        <v>369</v>
      </c>
      <c r="C266" s="3">
        <v>2305.13</v>
      </c>
      <c r="D266" s="1">
        <v>2590</v>
      </c>
      <c r="E266" t="str">
        <f>VLOOKUP(A266,Sheet2!A:E,5,)</f>
        <v>DEWARS PORTUGUESE SMOOTH</v>
      </c>
      <c r="F266" t="s">
        <v>4</v>
      </c>
      <c r="G266" s="3">
        <v>2305.13</v>
      </c>
      <c r="H266" s="1">
        <v>2590</v>
      </c>
    </row>
    <row r="267" spans="1:8" x14ac:dyDescent="0.35">
      <c r="A267" s="4" t="s">
        <v>947</v>
      </c>
      <c r="B267" s="4" t="s">
        <v>369</v>
      </c>
      <c r="C267" s="3">
        <v>1721.67</v>
      </c>
      <c r="D267" s="1">
        <v>1930</v>
      </c>
      <c r="E267" t="str">
        <f>VLOOKUP(A267,Sheet2!A:E,5,)</f>
        <v>DEWARS TRUE SCOTCH WHITE</v>
      </c>
      <c r="F267" t="s">
        <v>4</v>
      </c>
      <c r="G267" s="3">
        <v>1721.67</v>
      </c>
      <c r="H267" s="1">
        <v>1930</v>
      </c>
    </row>
    <row r="268" spans="1:8" x14ac:dyDescent="0.35">
      <c r="A268" s="2" t="s">
        <v>79</v>
      </c>
      <c r="B268" s="2" t="s">
        <v>368</v>
      </c>
      <c r="C268" s="3">
        <v>379.12</v>
      </c>
      <c r="D268" s="1">
        <v>430</v>
      </c>
      <c r="E268" t="str">
        <f>VLOOKUP(A268,Sheet2!A:E,5,)</f>
        <v>DEWARS WHITE LABEL BL SCOTCH</v>
      </c>
      <c r="F268" t="s">
        <v>374</v>
      </c>
      <c r="G268" s="3">
        <v>379.12</v>
      </c>
      <c r="H268" s="1">
        <v>430</v>
      </c>
    </row>
    <row r="269" spans="1:8" x14ac:dyDescent="0.35">
      <c r="A269" s="2" t="s">
        <v>80</v>
      </c>
      <c r="B269" s="2" t="s">
        <v>370</v>
      </c>
      <c r="C269" s="3">
        <v>766.47</v>
      </c>
      <c r="D269" s="1">
        <v>860</v>
      </c>
      <c r="E269" t="str">
        <f>VLOOKUP(A269,Sheet2!A:E,5,)</f>
        <v>DEWARS WHITE LABEL BL SCOTCH</v>
      </c>
      <c r="F269" t="s">
        <v>5</v>
      </c>
      <c r="G269" s="3">
        <v>766.47</v>
      </c>
      <c r="H269" s="1">
        <v>860</v>
      </c>
    </row>
    <row r="270" spans="1:8" x14ac:dyDescent="0.35">
      <c r="A270" s="2" t="s">
        <v>81</v>
      </c>
      <c r="B270" s="2" t="s">
        <v>369</v>
      </c>
      <c r="C270" s="3">
        <v>1531.25</v>
      </c>
      <c r="D270" s="1">
        <v>1720</v>
      </c>
      <c r="E270" t="str">
        <f>VLOOKUP(A270,Sheet2!A:E,5,)</f>
        <v>DEWARS WHITE LABEL BL SCOTCH</v>
      </c>
      <c r="F270" t="s">
        <v>4</v>
      </c>
      <c r="G270" s="3">
        <v>1531.25</v>
      </c>
      <c r="H270" s="1">
        <v>1720</v>
      </c>
    </row>
    <row r="271" spans="1:8" x14ac:dyDescent="0.35">
      <c r="A271" s="2" t="s">
        <v>518</v>
      </c>
      <c r="B271" s="2" t="s">
        <v>369</v>
      </c>
      <c r="C271" s="3">
        <v>468.15</v>
      </c>
      <c r="D271" s="1">
        <v>530</v>
      </c>
      <c r="E271" t="str">
        <f>VLOOKUP(A271,Sheet2!A:E,5,)</f>
        <v>DIA RED SPARKLER WINE</v>
      </c>
      <c r="F271" t="s">
        <v>4</v>
      </c>
      <c r="G271" s="3">
        <v>468.15</v>
      </c>
      <c r="H271" s="1">
        <v>530</v>
      </c>
    </row>
    <row r="272" spans="1:8" x14ac:dyDescent="0.35">
      <c r="A272" s="2" t="s">
        <v>82</v>
      </c>
      <c r="B272" s="2" t="s">
        <v>367</v>
      </c>
      <c r="C272" s="3">
        <v>4347.6899999999996</v>
      </c>
      <c r="D272" s="1">
        <v>4870</v>
      </c>
      <c r="E272" t="str">
        <f>VLOOKUP(A272,Sheet2!A:E,5,)</f>
        <v>DIPLOMATICO PLANS RUM</v>
      </c>
      <c r="F272" t="s">
        <v>4</v>
      </c>
      <c r="G272" s="3">
        <v>4347.6899999999996</v>
      </c>
      <c r="H272" s="1">
        <v>4870</v>
      </c>
    </row>
    <row r="273" spans="1:8" x14ac:dyDescent="0.35">
      <c r="A273" s="2" t="s">
        <v>519</v>
      </c>
      <c r="B273" s="2" t="s">
        <v>369</v>
      </c>
      <c r="C273" s="3">
        <v>4065.33</v>
      </c>
      <c r="D273" s="1">
        <v>4560</v>
      </c>
      <c r="E273" t="str">
        <f>VLOOKUP(A273,Sheet2!A:E,5,)</f>
        <v>DOAAB SINGLE MALT</v>
      </c>
      <c r="F273" t="s">
        <v>4</v>
      </c>
      <c r="G273" s="3">
        <v>4065.33</v>
      </c>
      <c r="H273" s="1">
        <v>4560</v>
      </c>
    </row>
    <row r="274" spans="1:8" x14ac:dyDescent="0.35">
      <c r="A274" s="2" t="s">
        <v>520</v>
      </c>
      <c r="B274" s="2" t="s">
        <v>369</v>
      </c>
      <c r="C274" s="3">
        <v>2779.97</v>
      </c>
      <c r="D274" s="1">
        <v>3120</v>
      </c>
      <c r="E274" t="str">
        <f>VLOOKUP(A274,Sheet2!A:E,5,)</f>
        <v>DON ANGEL TEQUILA BLANCO</v>
      </c>
      <c r="F274" t="s">
        <v>4</v>
      </c>
      <c r="G274" s="3">
        <v>2779.97</v>
      </c>
      <c r="H274" s="1">
        <v>3120</v>
      </c>
    </row>
    <row r="275" spans="1:8" x14ac:dyDescent="0.35">
      <c r="A275" s="2" t="s">
        <v>83</v>
      </c>
      <c r="B275" s="2" t="s">
        <v>369</v>
      </c>
      <c r="C275" s="3">
        <v>17352.71</v>
      </c>
      <c r="D275" s="1">
        <v>19440</v>
      </c>
      <c r="E275" t="str">
        <f>VLOOKUP(A275,Sheet2!A:E,5,)</f>
        <v>DON JUILO 1942 TEQUILA</v>
      </c>
      <c r="F275" t="s">
        <v>4</v>
      </c>
      <c r="G275" s="3">
        <v>17352.71</v>
      </c>
      <c r="H275" s="1">
        <v>19440</v>
      </c>
    </row>
    <row r="276" spans="1:8" x14ac:dyDescent="0.35">
      <c r="A276" s="2" t="s">
        <v>84</v>
      </c>
      <c r="B276" s="2" t="s">
        <v>367</v>
      </c>
      <c r="C276" s="3">
        <v>6471.04</v>
      </c>
      <c r="D276" s="1">
        <v>7250</v>
      </c>
      <c r="E276" t="str">
        <f>VLOOKUP(A276,Sheet2!A:E,5,)</f>
        <v>DON JUILO BLANCO 700</v>
      </c>
      <c r="F276" t="s">
        <v>4</v>
      </c>
      <c r="G276" s="3">
        <v>6471.04</v>
      </c>
      <c r="H276" s="1">
        <v>7250</v>
      </c>
    </row>
    <row r="277" spans="1:8" x14ac:dyDescent="0.35">
      <c r="A277" s="2" t="s">
        <v>85</v>
      </c>
      <c r="B277" s="2" t="s">
        <v>367</v>
      </c>
      <c r="C277" s="3">
        <v>6940.37</v>
      </c>
      <c r="D277" s="1">
        <v>7780</v>
      </c>
      <c r="E277" t="str">
        <f>VLOOKUP(A277,Sheet2!A:E,5,)</f>
        <v>DON JUILO REPOSADO 700</v>
      </c>
      <c r="F277" t="s">
        <v>4</v>
      </c>
      <c r="G277" s="3">
        <v>6940.37</v>
      </c>
      <c r="H277" s="1">
        <v>7780</v>
      </c>
    </row>
    <row r="278" spans="1:8" x14ac:dyDescent="0.35">
      <c r="A278" s="2" t="s">
        <v>86</v>
      </c>
      <c r="B278" s="2" t="s">
        <v>368</v>
      </c>
      <c r="C278" s="3">
        <v>215.15</v>
      </c>
      <c r="D278" s="1">
        <v>250</v>
      </c>
      <c r="E278" t="str">
        <f>VLOOKUP(A278,Sheet2!A:E,5,)</f>
        <v>DOWNING STREET PREM. WHISKY</v>
      </c>
      <c r="F278" t="s">
        <v>374</v>
      </c>
      <c r="G278" s="3">
        <v>215.15</v>
      </c>
      <c r="H278" s="1">
        <v>250</v>
      </c>
    </row>
    <row r="279" spans="1:8" x14ac:dyDescent="0.35">
      <c r="A279" s="2" t="s">
        <v>521</v>
      </c>
      <c r="B279" s="2" t="s">
        <v>370</v>
      </c>
      <c r="C279" s="3">
        <v>428.29</v>
      </c>
      <c r="D279" s="1">
        <v>480</v>
      </c>
      <c r="E279" t="str">
        <f>VLOOKUP(A279,Sheet2!A:E,5,)</f>
        <v>DOWNING STREET PREM. WHISKY</v>
      </c>
      <c r="F279" t="s">
        <v>5</v>
      </c>
      <c r="G279" s="3">
        <v>428.29</v>
      </c>
      <c r="H279" s="1">
        <v>480</v>
      </c>
    </row>
    <row r="280" spans="1:8" x14ac:dyDescent="0.35">
      <c r="A280" s="2" t="s">
        <v>87</v>
      </c>
      <c r="B280" s="2" t="s">
        <v>369</v>
      </c>
      <c r="C280" s="3">
        <v>1146.0899999999999</v>
      </c>
      <c r="D280" s="1">
        <v>1290</v>
      </c>
      <c r="E280" t="str">
        <f>VLOOKUP(A280,Sheet2!A:E,5,)</f>
        <v>DR. ZENZEN DRY WHITE SPARKLING WINE</v>
      </c>
      <c r="F280" t="s">
        <v>4</v>
      </c>
      <c r="G280" s="3">
        <v>1146.0899999999999</v>
      </c>
      <c r="H280" s="1">
        <v>1290</v>
      </c>
    </row>
    <row r="281" spans="1:8" x14ac:dyDescent="0.35">
      <c r="A281" s="2" t="s">
        <v>88</v>
      </c>
      <c r="B281" s="2" t="s">
        <v>369</v>
      </c>
      <c r="C281" s="3">
        <v>1485.63</v>
      </c>
      <c r="D281" s="1">
        <v>1670</v>
      </c>
      <c r="E281" t="str">
        <f>VLOOKUP(A281,Sheet2!A:E,5,)</f>
        <v>DR ZENZEN PREMIUM WHITE RIESLING L</v>
      </c>
      <c r="F281" t="s">
        <v>4</v>
      </c>
      <c r="G281" s="3">
        <v>1485.63</v>
      </c>
      <c r="H281" s="1">
        <v>1670</v>
      </c>
    </row>
    <row r="282" spans="1:8" x14ac:dyDescent="0.35">
      <c r="A282" s="2" t="s">
        <v>522</v>
      </c>
      <c r="B282" s="2" t="s">
        <v>369</v>
      </c>
      <c r="C282" s="3">
        <v>1495.26</v>
      </c>
      <c r="D282" s="1">
        <v>1680</v>
      </c>
      <c r="E282" t="str">
        <f>VLOOKUP(A282,Sheet2!A:E,5,)</f>
        <v>DR.ZENZEN VINO NOIR RED WINE</v>
      </c>
      <c r="F282" t="s">
        <v>4</v>
      </c>
      <c r="G282" s="3">
        <v>1495.26</v>
      </c>
      <c r="H282" s="1">
        <v>1680</v>
      </c>
    </row>
    <row r="283" spans="1:8" x14ac:dyDescent="0.35">
      <c r="A283" s="2" t="s">
        <v>89</v>
      </c>
      <c r="B283" s="2" t="s">
        <v>369</v>
      </c>
      <c r="C283" s="3">
        <v>1221.01</v>
      </c>
      <c r="D283" s="1">
        <v>1370</v>
      </c>
      <c r="E283" t="str">
        <f>VLOOKUP(A283,Sheet2!A:E,5,)</f>
        <v>DUDIES/SHIRAZ/CABERNET/SAUVIGON</v>
      </c>
      <c r="F283" t="s">
        <v>4</v>
      </c>
      <c r="G283" s="3">
        <v>1221.01</v>
      </c>
      <c r="H283" s="1">
        <v>1370</v>
      </c>
    </row>
    <row r="284" spans="1:8" x14ac:dyDescent="0.35">
      <c r="A284" s="2" t="s">
        <v>90</v>
      </c>
      <c r="B284" s="2" t="s">
        <v>368</v>
      </c>
      <c r="C284" s="3">
        <v>127.28</v>
      </c>
      <c r="D284" s="1">
        <v>150</v>
      </c>
      <c r="E284" t="str">
        <f>VLOOKUP(A284,Sheet2!A:E,5,)</f>
        <v>DUOBLE BLUE CLASSIC</v>
      </c>
      <c r="F284" t="s">
        <v>374</v>
      </c>
      <c r="G284" s="3">
        <v>127.28</v>
      </c>
      <c r="H284" s="1">
        <v>150</v>
      </c>
    </row>
    <row r="285" spans="1:8" x14ac:dyDescent="0.35">
      <c r="A285" s="2" t="s">
        <v>523</v>
      </c>
      <c r="B285" s="2" t="s">
        <v>370</v>
      </c>
      <c r="C285" s="3">
        <v>266.29000000000002</v>
      </c>
      <c r="D285" s="1">
        <v>300</v>
      </c>
      <c r="E285" t="str">
        <f>VLOOKUP(A285,Sheet2!A:E,5,)</f>
        <v>DUOBLE BLUE CLASSIC</v>
      </c>
      <c r="F285" t="s">
        <v>5</v>
      </c>
      <c r="G285" s="3">
        <v>266.29000000000002</v>
      </c>
      <c r="H285" s="1">
        <v>300</v>
      </c>
    </row>
    <row r="286" spans="1:8" x14ac:dyDescent="0.35">
      <c r="A286" s="2" t="s">
        <v>524</v>
      </c>
      <c r="B286" s="2" t="s">
        <v>369</v>
      </c>
      <c r="C286" s="3">
        <v>526.20000000000005</v>
      </c>
      <c r="D286" s="1">
        <v>590</v>
      </c>
      <c r="E286" t="str">
        <f>VLOOKUP(A286,Sheet2!A:E,5,)</f>
        <v>DUOBLE BLUE CLASSIC</v>
      </c>
      <c r="F286" t="s">
        <v>4</v>
      </c>
      <c r="G286" s="3">
        <v>526.20000000000005</v>
      </c>
      <c r="H286" s="1">
        <v>590</v>
      </c>
    </row>
    <row r="287" spans="1:8" x14ac:dyDescent="0.35">
      <c r="A287" s="2" t="s">
        <v>91</v>
      </c>
      <c r="B287" s="2" t="s">
        <v>369</v>
      </c>
      <c r="C287" s="3">
        <v>3353.56</v>
      </c>
      <c r="D287" s="1">
        <v>3760</v>
      </c>
      <c r="E287" t="str">
        <f>VLOOKUP(A287,Sheet2!A:E,5,)</f>
        <v>DYAVOL SINGLE ESTATE VODKA</v>
      </c>
      <c r="F287" t="s">
        <v>4</v>
      </c>
      <c r="G287" s="3">
        <v>3353.56</v>
      </c>
      <c r="H287" s="1">
        <v>3760</v>
      </c>
    </row>
    <row r="288" spans="1:8" x14ac:dyDescent="0.35">
      <c r="A288" s="2" t="s">
        <v>525</v>
      </c>
      <c r="B288" s="2" t="s">
        <v>369</v>
      </c>
      <c r="C288" s="3">
        <v>1717.39</v>
      </c>
      <c r="D288" s="1">
        <v>1930</v>
      </c>
      <c r="E288" t="str">
        <f>VLOOKUP(A288,Sheet2!A:E,5,)</f>
        <v>EDEN BLENDED MALT WHISKY</v>
      </c>
      <c r="F288" t="s">
        <v>4</v>
      </c>
      <c r="G288" s="3">
        <v>1717.39</v>
      </c>
      <c r="H288" s="1">
        <v>1930</v>
      </c>
    </row>
    <row r="289" spans="1:8" x14ac:dyDescent="0.35">
      <c r="A289" s="2" t="s">
        <v>92</v>
      </c>
      <c r="B289" s="2" t="s">
        <v>369</v>
      </c>
      <c r="C289" s="3">
        <v>1856.96</v>
      </c>
      <c r="D289" s="1">
        <v>2080</v>
      </c>
      <c r="E289" t="str">
        <f>VLOOKUP(A289,Sheet2!A:E,5,)</f>
        <v>EL CHARRO TQUILA</v>
      </c>
      <c r="F289" t="s">
        <v>4</v>
      </c>
      <c r="G289" s="3">
        <v>1856.96</v>
      </c>
      <c r="H289" s="1">
        <v>2080</v>
      </c>
    </row>
    <row r="290" spans="1:8" x14ac:dyDescent="0.35">
      <c r="A290" s="2" t="s">
        <v>526</v>
      </c>
      <c r="B290" s="2" t="s">
        <v>369</v>
      </c>
      <c r="C290" s="3">
        <v>4490.75</v>
      </c>
      <c r="D290" s="1">
        <v>5030</v>
      </c>
      <c r="E290" t="str">
        <f>VLOOKUP(A290,Sheet2!A:E,5,)</f>
        <v>ELIT VODKA</v>
      </c>
      <c r="F290" t="s">
        <v>4</v>
      </c>
      <c r="G290" s="3">
        <v>4490.75</v>
      </c>
      <c r="H290" s="1">
        <v>5030</v>
      </c>
    </row>
    <row r="291" spans="1:8" x14ac:dyDescent="0.35">
      <c r="A291" s="2" t="s">
        <v>527</v>
      </c>
      <c r="B291" s="2" t="s">
        <v>369</v>
      </c>
      <c r="C291" s="3">
        <v>3615.38</v>
      </c>
      <c r="D291" s="1">
        <v>4050</v>
      </c>
      <c r="E291" t="str">
        <f>VLOOKUP(A291,Sheet2!A:E,5,)</f>
        <v>ENSO RESERVE JAPANESE WHISKY</v>
      </c>
      <c r="F291" t="s">
        <v>4</v>
      </c>
      <c r="G291" s="3">
        <v>3615.38</v>
      </c>
      <c r="H291" s="1">
        <v>4050</v>
      </c>
    </row>
    <row r="292" spans="1:8" x14ac:dyDescent="0.35">
      <c r="A292" s="2" t="s">
        <v>528</v>
      </c>
      <c r="B292" s="2" t="s">
        <v>369</v>
      </c>
      <c r="C292" s="3">
        <v>2964.38</v>
      </c>
      <c r="D292" s="1">
        <v>3330</v>
      </c>
      <c r="E292" t="str">
        <f>VLOOKUP(A292,Sheet2!A:E,5,)</f>
        <v>EVAN WILLIAMS BLACK BOURBON WHISKY</v>
      </c>
      <c r="F292" t="s">
        <v>4</v>
      </c>
      <c r="G292" s="3">
        <v>2964.38</v>
      </c>
      <c r="H292" s="1">
        <v>3330</v>
      </c>
    </row>
    <row r="293" spans="1:8" x14ac:dyDescent="0.35">
      <c r="A293" s="2" t="s">
        <v>93</v>
      </c>
      <c r="B293" s="2" t="s">
        <v>369</v>
      </c>
      <c r="C293" s="3">
        <v>1519.69</v>
      </c>
      <c r="D293" s="1">
        <v>1710</v>
      </c>
      <c r="E293" t="str">
        <f>VLOOKUP(A293,Sheet2!A:E,5,)</f>
        <v>FAIRVIEWS GOATS DO ROAM RED/WHITE WINE</v>
      </c>
      <c r="F293" t="s">
        <v>4</v>
      </c>
      <c r="G293" s="3">
        <v>1519.69</v>
      </c>
      <c r="H293" s="1">
        <v>1710</v>
      </c>
    </row>
    <row r="294" spans="1:8" x14ac:dyDescent="0.35">
      <c r="A294" s="2" t="s">
        <v>529</v>
      </c>
      <c r="B294" s="2" t="s">
        <v>369</v>
      </c>
      <c r="C294" s="3">
        <v>3115.09</v>
      </c>
      <c r="D294" s="1">
        <v>3490</v>
      </c>
      <c r="E294" t="str">
        <f>VLOOKUP(A294,Sheet2!A:E,5,)</f>
        <v>FOX SAUVIGNON BLANC</v>
      </c>
      <c r="F294" t="s">
        <v>4</v>
      </c>
      <c r="G294" s="3">
        <v>3115.09</v>
      </c>
      <c r="H294" s="1">
        <v>3490</v>
      </c>
    </row>
    <row r="295" spans="1:8" x14ac:dyDescent="0.35">
      <c r="A295" s="2" t="s">
        <v>94</v>
      </c>
      <c r="B295" s="2" t="s">
        <v>369</v>
      </c>
      <c r="C295" s="3">
        <v>760.25</v>
      </c>
      <c r="D295" s="1">
        <v>860</v>
      </c>
      <c r="E295" t="str">
        <f>VLOOKUP(A295,Sheet2!A:E,5,)</f>
        <v>FRATELLI CABERNET FRANC SHIRAZ</v>
      </c>
      <c r="F295" t="s">
        <v>4</v>
      </c>
      <c r="G295" s="3">
        <v>760.25</v>
      </c>
      <c r="H295" s="1">
        <v>860</v>
      </c>
    </row>
    <row r="296" spans="1:8" x14ac:dyDescent="0.35">
      <c r="A296" s="2" t="s">
        <v>530</v>
      </c>
      <c r="B296" s="2" t="s">
        <v>370</v>
      </c>
      <c r="C296" s="3">
        <v>387.25</v>
      </c>
      <c r="D296" s="1">
        <v>440</v>
      </c>
      <c r="E296" t="str">
        <f>VLOOKUP(A296,Sheet2!A:E,5,)</f>
        <v>FRATELLI CABERNET FRANC SHIRAZ / SAUVIG</v>
      </c>
      <c r="F296" t="s">
        <v>5</v>
      </c>
      <c r="G296" s="3">
        <v>387.25</v>
      </c>
      <c r="H296" s="1">
        <v>440</v>
      </c>
    </row>
    <row r="297" spans="1:8" x14ac:dyDescent="0.35">
      <c r="A297" s="2" t="s">
        <v>95</v>
      </c>
      <c r="B297" s="2" t="s">
        <v>369</v>
      </c>
      <c r="C297" s="3">
        <v>673.7</v>
      </c>
      <c r="D297" s="1">
        <v>760</v>
      </c>
      <c r="E297" t="str">
        <f>VLOOKUP(A297,Sheet2!A:E,5,)</f>
        <v>FRATELLI CABERNET FRANC SHIRAZ/ SAUVIGNONM</v>
      </c>
      <c r="F297" t="s">
        <v>4</v>
      </c>
      <c r="G297" s="3">
        <v>673.7</v>
      </c>
      <c r="H297" s="1">
        <v>760</v>
      </c>
    </row>
    <row r="298" spans="1:8" x14ac:dyDescent="0.35">
      <c r="A298" s="2" t="s">
        <v>531</v>
      </c>
      <c r="B298" s="2" t="s">
        <v>369</v>
      </c>
      <c r="C298" s="3">
        <v>763.68</v>
      </c>
      <c r="D298" s="1">
        <v>860</v>
      </c>
      <c r="E298" t="str">
        <f>VLOOKUP(A298,Sheet2!A:E,5,)</f>
        <v>FRATELLI CABERNET SAUVUGNON RED</v>
      </c>
      <c r="F298" t="s">
        <v>4</v>
      </c>
      <c r="G298" s="3">
        <v>763.68</v>
      </c>
      <c r="H298" s="1">
        <v>860</v>
      </c>
    </row>
    <row r="299" spans="1:8" x14ac:dyDescent="0.35">
      <c r="A299" s="2" t="s">
        <v>532</v>
      </c>
      <c r="B299" s="2" t="s">
        <v>369</v>
      </c>
      <c r="C299" s="3">
        <v>860.55</v>
      </c>
      <c r="D299" s="1">
        <v>970</v>
      </c>
      <c r="E299" t="str">
        <f>VLOOKUP(A299,Sheet2!A:E,5,)</f>
        <v>FRATELLI CHARDONNARY WHITE</v>
      </c>
      <c r="F299" t="s">
        <v>4</v>
      </c>
      <c r="G299" s="3">
        <v>860.55</v>
      </c>
      <c r="H299" s="1">
        <v>970</v>
      </c>
    </row>
    <row r="300" spans="1:8" x14ac:dyDescent="0.35">
      <c r="A300" s="2" t="s">
        <v>533</v>
      </c>
      <c r="B300" s="2" t="s">
        <v>369</v>
      </c>
      <c r="C300" s="3">
        <v>485.45</v>
      </c>
      <c r="D300" s="1">
        <v>550</v>
      </c>
      <c r="E300" t="str">
        <f>VLOOKUP(A300,Sheet2!A:E,5,)</f>
        <v>FRATELLI CLASSIC CHENIN BLANC</v>
      </c>
      <c r="F300" t="s">
        <v>4</v>
      </c>
      <c r="G300" s="3">
        <v>485.45</v>
      </c>
      <c r="H300" s="1">
        <v>550</v>
      </c>
    </row>
    <row r="301" spans="1:8" x14ac:dyDescent="0.35">
      <c r="A301" s="2" t="s">
        <v>534</v>
      </c>
      <c r="B301" s="2" t="s">
        <v>369</v>
      </c>
      <c r="C301" s="3">
        <v>468.78</v>
      </c>
      <c r="D301" s="1">
        <v>530</v>
      </c>
      <c r="E301" t="str">
        <f>VLOOKUP(A301,Sheet2!A:E,5,)</f>
        <v>FRATELLI CLASSIC CHENIN WHITE / RED</v>
      </c>
      <c r="F301" t="s">
        <v>4</v>
      </c>
      <c r="G301" s="3">
        <v>468.78</v>
      </c>
      <c r="H301" s="1">
        <v>530</v>
      </c>
    </row>
    <row r="302" spans="1:8" x14ac:dyDescent="0.35">
      <c r="A302" s="2" t="s">
        <v>96</v>
      </c>
      <c r="B302" s="2" t="s">
        <v>369</v>
      </c>
      <c r="C302" s="3">
        <v>678.47</v>
      </c>
      <c r="D302" s="1">
        <v>760</v>
      </c>
      <c r="E302" t="str">
        <f>VLOOKUP(A302,Sheet2!A:E,5,)</f>
        <v>FRATELLI CLASSIC MERLOT</v>
      </c>
      <c r="F302" t="s">
        <v>4</v>
      </c>
      <c r="G302" s="3">
        <v>678.47</v>
      </c>
      <c r="H302" s="1">
        <v>760</v>
      </c>
    </row>
    <row r="303" spans="1:8" x14ac:dyDescent="0.35">
      <c r="A303" s="2" t="s">
        <v>97</v>
      </c>
      <c r="B303" s="2" t="s">
        <v>369</v>
      </c>
      <c r="C303" s="3">
        <v>568.48</v>
      </c>
      <c r="D303" s="1">
        <v>640</v>
      </c>
      <c r="E303" t="str">
        <f>VLOOKUP(A303,Sheet2!A:E,5,)</f>
        <v>FRATELLI CLASSIC MERLOT/CHENIN BLANC</v>
      </c>
      <c r="F303" t="s">
        <v>4</v>
      </c>
      <c r="G303" s="3">
        <v>568.48</v>
      </c>
      <c r="H303" s="1">
        <v>640</v>
      </c>
    </row>
    <row r="304" spans="1:8" x14ac:dyDescent="0.35">
      <c r="A304" s="2" t="s">
        <v>535</v>
      </c>
      <c r="B304" s="2" t="s">
        <v>369</v>
      </c>
      <c r="C304" s="3">
        <v>582.09</v>
      </c>
      <c r="D304" s="1">
        <v>660</v>
      </c>
      <c r="E304" t="str">
        <f>VLOOKUP(A304,Sheet2!A:E,5,)</f>
        <v>FRATELLI CLASSIC MERLOT/CHENIN SHIRAZ</v>
      </c>
      <c r="F304" t="s">
        <v>4</v>
      </c>
      <c r="G304" s="3">
        <v>582.09</v>
      </c>
      <c r="H304" s="1">
        <v>660</v>
      </c>
    </row>
    <row r="305" spans="1:8" x14ac:dyDescent="0.35">
      <c r="A305" s="2" t="s">
        <v>536</v>
      </c>
      <c r="B305" s="2" t="s">
        <v>370</v>
      </c>
      <c r="C305" s="3">
        <v>295.16000000000003</v>
      </c>
      <c r="D305" s="1">
        <v>340</v>
      </c>
      <c r="E305" t="str">
        <f>VLOOKUP(A305,Sheet2!A:E,5,)</f>
        <v>FRATELLI/CLASSIC /SHIRAJ RED</v>
      </c>
      <c r="F305" t="s">
        <v>5</v>
      </c>
      <c r="G305" s="3">
        <v>295.16000000000003</v>
      </c>
      <c r="H305" s="1">
        <v>340</v>
      </c>
    </row>
    <row r="306" spans="1:8" x14ac:dyDescent="0.35">
      <c r="A306" s="2" t="s">
        <v>537</v>
      </c>
      <c r="B306" s="2" t="s">
        <v>369</v>
      </c>
      <c r="C306" s="3">
        <v>1008.85</v>
      </c>
      <c r="D306" s="1">
        <v>1130</v>
      </c>
      <c r="E306" t="str">
        <f>VLOOKUP(A306,Sheet2!A:E,5,)</f>
        <v>FRATELLI GRAIN BRUT</v>
      </c>
      <c r="F306" t="s">
        <v>4</v>
      </c>
      <c r="G306" s="3">
        <v>1008.85</v>
      </c>
      <c r="H306" s="1">
        <v>1130</v>
      </c>
    </row>
    <row r="307" spans="1:8" x14ac:dyDescent="0.35">
      <c r="A307" s="2" t="s">
        <v>98</v>
      </c>
      <c r="B307" s="2" t="s">
        <v>369</v>
      </c>
      <c r="C307" s="3">
        <v>1182.28</v>
      </c>
      <c r="D307" s="1">
        <v>1330</v>
      </c>
      <c r="E307" t="str">
        <f>VLOOKUP(A307,Sheet2!A:E,5,)</f>
        <v>FRATELLI MASTER M/S</v>
      </c>
      <c r="F307" t="s">
        <v>4</v>
      </c>
      <c r="G307" s="3">
        <v>1182.28</v>
      </c>
      <c r="H307" s="1">
        <v>1330</v>
      </c>
    </row>
    <row r="308" spans="1:8" x14ac:dyDescent="0.35">
      <c r="A308" s="2" t="s">
        <v>538</v>
      </c>
      <c r="B308" s="2" t="s">
        <v>369</v>
      </c>
      <c r="C308" s="3">
        <v>1001.67</v>
      </c>
      <c r="D308" s="1">
        <v>1130</v>
      </c>
      <c r="E308" t="str">
        <f>VLOOKUP(A308,Sheet2!A:E,5,)</f>
        <v>FRATELLI MERLOT/SANGIOVESE RED WINE</v>
      </c>
      <c r="F308" t="s">
        <v>4</v>
      </c>
      <c r="G308" s="3">
        <v>1001.67</v>
      </c>
      <c r="H308" s="1">
        <v>1130</v>
      </c>
    </row>
    <row r="309" spans="1:8" x14ac:dyDescent="0.35">
      <c r="A309" s="2" t="s">
        <v>539</v>
      </c>
      <c r="B309" s="2" t="s">
        <v>369</v>
      </c>
      <c r="C309" s="3">
        <v>872.52</v>
      </c>
      <c r="D309" s="1">
        <v>980</v>
      </c>
      <c r="E309" t="str">
        <f>VLOOKUP(A309,Sheet2!A:E,5,)</f>
        <v>FRATELLI MERLOT/SAVGIOVESE RED</v>
      </c>
      <c r="F309" t="s">
        <v>4</v>
      </c>
      <c r="G309" s="3">
        <v>872.52</v>
      </c>
      <c r="H309" s="1">
        <v>980</v>
      </c>
    </row>
    <row r="310" spans="1:8" x14ac:dyDescent="0.35">
      <c r="A310" s="2" t="s">
        <v>99</v>
      </c>
      <c r="B310" s="2" t="s">
        <v>369</v>
      </c>
      <c r="C310" s="3">
        <v>1012.73</v>
      </c>
      <c r="D310" s="1">
        <v>1140</v>
      </c>
      <c r="E310" t="str">
        <f>VLOOKUP(A310,Sheet2!A:E,5,)</f>
        <v>FRATELLI MS SANGIOVESE ROSE</v>
      </c>
      <c r="F310" t="s">
        <v>4</v>
      </c>
      <c r="G310" s="3">
        <v>1012.73</v>
      </c>
      <c r="H310" s="1">
        <v>1140</v>
      </c>
    </row>
    <row r="311" spans="1:8" x14ac:dyDescent="0.35">
      <c r="A311" s="2" t="s">
        <v>540</v>
      </c>
      <c r="B311" s="2" t="s">
        <v>369</v>
      </c>
      <c r="C311" s="3">
        <v>1002.71</v>
      </c>
      <c r="D311" s="1">
        <v>1130</v>
      </c>
      <c r="E311" t="str">
        <f>VLOOKUP(A311,Sheet2!A:E,5,)</f>
        <v>FRATELLI PINOT NOIR</v>
      </c>
      <c r="F311" t="s">
        <v>4</v>
      </c>
      <c r="G311" s="3">
        <v>1002.71</v>
      </c>
      <c r="H311" s="1">
        <v>1130</v>
      </c>
    </row>
    <row r="312" spans="1:8" x14ac:dyDescent="0.35">
      <c r="A312" s="2" t="s">
        <v>541</v>
      </c>
      <c r="B312" s="2" t="s">
        <v>370</v>
      </c>
      <c r="C312" s="3">
        <v>342.71</v>
      </c>
      <c r="D312" s="1">
        <v>390</v>
      </c>
      <c r="E312" t="str">
        <f>VLOOKUP(A312,Sheet2!A:E,5,)</f>
        <v>FRATELLI SAVVIGNON/BLANC</v>
      </c>
      <c r="F312" t="s">
        <v>5</v>
      </c>
      <c r="G312" s="3">
        <v>342.71</v>
      </c>
      <c r="H312" s="1">
        <v>390</v>
      </c>
    </row>
    <row r="313" spans="1:8" x14ac:dyDescent="0.35">
      <c r="A313" s="2" t="s">
        <v>542</v>
      </c>
      <c r="B313" s="2" t="s">
        <v>369</v>
      </c>
      <c r="C313" s="3">
        <v>685.36</v>
      </c>
      <c r="D313" s="1">
        <v>770</v>
      </c>
      <c r="E313" t="str">
        <f>VLOOKUP(A313,Sheet2!A:E,5,)</f>
        <v>FRATELLI SAVVIGNON/BLANC</v>
      </c>
      <c r="F313" t="s">
        <v>4</v>
      </c>
      <c r="G313" s="3">
        <v>685.36</v>
      </c>
      <c r="H313" s="1">
        <v>770</v>
      </c>
    </row>
    <row r="314" spans="1:8" x14ac:dyDescent="0.35">
      <c r="A314" s="2" t="s">
        <v>543</v>
      </c>
      <c r="B314" s="2" t="s">
        <v>369</v>
      </c>
      <c r="C314" s="3">
        <v>719.06</v>
      </c>
      <c r="D314" s="1">
        <v>810</v>
      </c>
      <c r="E314" t="str">
        <f>VLOOKUP(A314,Sheet2!A:E,5,)</f>
        <v>FRATELLI SAVVIGNON/BLANC WHITE</v>
      </c>
      <c r="F314" t="s">
        <v>4</v>
      </c>
      <c r="G314" s="3">
        <v>719.06</v>
      </c>
      <c r="H314" s="1">
        <v>810</v>
      </c>
    </row>
    <row r="315" spans="1:8" x14ac:dyDescent="0.35">
      <c r="A315" s="2" t="s">
        <v>544</v>
      </c>
      <c r="B315" s="2" t="s">
        <v>369</v>
      </c>
      <c r="C315" s="3">
        <v>1848.75</v>
      </c>
      <c r="D315" s="1">
        <v>2080</v>
      </c>
      <c r="E315" t="str">
        <f>VLOOKUP(A315,Sheet2!A:E,5,)</f>
        <v>FRATELLI SETTE RED</v>
      </c>
      <c r="F315" t="s">
        <v>4</v>
      </c>
      <c r="G315" s="3">
        <v>1848.75</v>
      </c>
      <c r="H315" s="1">
        <v>2080</v>
      </c>
    </row>
    <row r="316" spans="1:8" x14ac:dyDescent="0.35">
      <c r="A316" s="2" t="s">
        <v>100</v>
      </c>
      <c r="B316" s="2" t="s">
        <v>369</v>
      </c>
      <c r="C316" s="3">
        <v>682.5</v>
      </c>
      <c r="D316" s="1">
        <v>770</v>
      </c>
      <c r="E316" t="str">
        <f>VLOOKUP(A316,Sheet2!A:E,5,)</f>
        <v>FRATELLI SHIRAZ ROSE /M</v>
      </c>
      <c r="F316" t="s">
        <v>4</v>
      </c>
      <c r="G316" s="3">
        <v>682.5</v>
      </c>
      <c r="H316" s="1">
        <v>770</v>
      </c>
    </row>
    <row r="317" spans="1:8" x14ac:dyDescent="0.35">
      <c r="A317" s="2" t="s">
        <v>545</v>
      </c>
      <c r="B317" s="2" t="s">
        <v>369</v>
      </c>
      <c r="C317" s="3">
        <v>473.56</v>
      </c>
      <c r="D317" s="1">
        <v>540</v>
      </c>
      <c r="E317" t="str">
        <f>VLOOKUP(A317,Sheet2!A:E,5,)</f>
        <v>FRATELLI ZIVA RED/WHITE WINE</v>
      </c>
      <c r="F317" t="s">
        <v>4</v>
      </c>
      <c r="G317" s="3">
        <v>473.56</v>
      </c>
      <c r="H317" s="1">
        <v>540</v>
      </c>
    </row>
    <row r="318" spans="1:8" x14ac:dyDescent="0.35">
      <c r="A318" s="2" t="s">
        <v>546</v>
      </c>
      <c r="B318" s="2" t="s">
        <v>369</v>
      </c>
      <c r="C318" s="3">
        <v>388.01</v>
      </c>
      <c r="D318" s="1">
        <v>440</v>
      </c>
      <c r="E318" t="str">
        <f>VLOOKUP(A318,Sheet2!A:E,5,)</f>
        <v>FRATELLI ZIVA ROSE WINE</v>
      </c>
      <c r="F318" t="s">
        <v>4</v>
      </c>
      <c r="G318" s="3">
        <v>388.01</v>
      </c>
      <c r="H318" s="1">
        <v>440</v>
      </c>
    </row>
    <row r="319" spans="1:8" x14ac:dyDescent="0.35">
      <c r="A319" s="2" t="s">
        <v>547</v>
      </c>
      <c r="B319" s="2" t="s">
        <v>369</v>
      </c>
      <c r="C319" s="3">
        <v>1913.49</v>
      </c>
      <c r="D319" s="1">
        <v>2150</v>
      </c>
      <c r="E319" t="str">
        <f>VLOOKUP(A319,Sheet2!A:E,5,)</f>
        <v>FREIXENET CORDON NEGRO</v>
      </c>
      <c r="F319" t="s">
        <v>4</v>
      </c>
      <c r="G319" s="3">
        <v>1913.49</v>
      </c>
      <c r="H319" s="1">
        <v>2150</v>
      </c>
    </row>
    <row r="320" spans="1:8" x14ac:dyDescent="0.35">
      <c r="A320" s="2" t="s">
        <v>101</v>
      </c>
      <c r="B320" s="2" t="s">
        <v>369</v>
      </c>
      <c r="C320" s="3">
        <v>1639.26</v>
      </c>
      <c r="D320" s="1">
        <v>1840</v>
      </c>
      <c r="E320" t="str">
        <f>VLOOKUP(A320,Sheet2!A:E,5,)</f>
        <v>GAICONDI MERLOT / CHARDONNAY</v>
      </c>
      <c r="F320" t="s">
        <v>4</v>
      </c>
      <c r="G320" s="3">
        <v>1639.26</v>
      </c>
      <c r="H320" s="1">
        <v>1840</v>
      </c>
    </row>
    <row r="321" spans="1:8" x14ac:dyDescent="0.35">
      <c r="A321" s="2" t="s">
        <v>102</v>
      </c>
      <c r="B321" s="2" t="s">
        <v>369</v>
      </c>
      <c r="C321" s="3">
        <v>3301.97</v>
      </c>
      <c r="D321" s="1">
        <v>3700</v>
      </c>
      <c r="E321" t="str">
        <f>VLOOKUP(A321,Sheet2!A:E,5,)</f>
        <v>GENTLEMAN JACK</v>
      </c>
      <c r="F321" t="s">
        <v>4</v>
      </c>
      <c r="G321" s="3">
        <v>3301.97</v>
      </c>
      <c r="H321" s="1">
        <v>3700</v>
      </c>
    </row>
    <row r="322" spans="1:8" x14ac:dyDescent="0.35">
      <c r="A322" s="2" t="s">
        <v>548</v>
      </c>
      <c r="B322" s="2" t="s">
        <v>367</v>
      </c>
      <c r="C322" s="3">
        <v>2238.0500000000002</v>
      </c>
      <c r="D322" s="1">
        <v>2510</v>
      </c>
      <c r="E322" t="str">
        <f>VLOOKUP(A322,Sheet2!A:E,5,)</f>
        <v>GIN MG ORANGE</v>
      </c>
      <c r="F322" t="s">
        <v>4</v>
      </c>
      <c r="G322" s="3">
        <v>2238.0500000000002</v>
      </c>
      <c r="H322" s="1">
        <v>2510</v>
      </c>
    </row>
    <row r="323" spans="1:8" x14ac:dyDescent="0.35">
      <c r="A323" s="2" t="s">
        <v>549</v>
      </c>
      <c r="B323" s="2" t="s">
        <v>367</v>
      </c>
      <c r="C323" s="3">
        <v>2080.0500000000002</v>
      </c>
      <c r="D323" s="1">
        <v>2330</v>
      </c>
      <c r="E323" t="str">
        <f>VLOOKUP(A323,Sheet2!A:E,5,)</f>
        <v>GIN MG SP</v>
      </c>
      <c r="F323" t="s">
        <v>4</v>
      </c>
      <c r="G323" s="3">
        <v>2080.0500000000002</v>
      </c>
      <c r="H323" s="1">
        <v>2330</v>
      </c>
    </row>
    <row r="324" spans="1:8" x14ac:dyDescent="0.35">
      <c r="A324" s="2" t="s">
        <v>550</v>
      </c>
      <c r="B324" s="2" t="s">
        <v>367</v>
      </c>
      <c r="C324" s="3">
        <v>4263.97</v>
      </c>
      <c r="D324" s="1">
        <v>4780</v>
      </c>
      <c r="E324" t="str">
        <f>VLOOKUP(A324,Sheet2!A:E,5,)</f>
        <v>GLEN FIDDICH 12 YEAR</v>
      </c>
      <c r="F324" t="s">
        <v>4</v>
      </c>
      <c r="G324" s="3">
        <v>4263.97</v>
      </c>
      <c r="H324" s="1">
        <v>4780</v>
      </c>
    </row>
    <row r="325" spans="1:8" x14ac:dyDescent="0.35">
      <c r="A325" s="2" t="s">
        <v>551</v>
      </c>
      <c r="B325" s="2" t="s">
        <v>367</v>
      </c>
      <c r="C325" s="3">
        <v>5123.8999999999996</v>
      </c>
      <c r="D325" s="1">
        <v>5740</v>
      </c>
      <c r="E325" t="str">
        <f>VLOOKUP(A325,Sheet2!A:E,5,)</f>
        <v>GLEN FIDDICH 15 YEAR</v>
      </c>
      <c r="F325" t="s">
        <v>4</v>
      </c>
      <c r="G325" s="3">
        <v>5123.8999999999996</v>
      </c>
      <c r="H325" s="1">
        <v>5740</v>
      </c>
    </row>
    <row r="326" spans="1:8" x14ac:dyDescent="0.35">
      <c r="A326" s="2" t="s">
        <v>103</v>
      </c>
      <c r="B326" s="2" t="s">
        <v>369</v>
      </c>
      <c r="C326" s="3">
        <v>63823.73</v>
      </c>
      <c r="D326" s="1">
        <v>71490</v>
      </c>
      <c r="E326" t="str">
        <f>VLOOKUP(A326,Sheet2!A:E,5,)</f>
        <v>GLENFIDDICH GRANDE COURNNE 26YEAR</v>
      </c>
      <c r="F326" t="s">
        <v>4</v>
      </c>
      <c r="G326" s="3">
        <v>63823.73</v>
      </c>
      <c r="H326" s="1">
        <v>71490</v>
      </c>
    </row>
    <row r="327" spans="1:8" x14ac:dyDescent="0.35">
      <c r="A327" s="2" t="s">
        <v>552</v>
      </c>
      <c r="B327" s="2" t="s">
        <v>367</v>
      </c>
      <c r="C327" s="3">
        <v>9602.58</v>
      </c>
      <c r="D327" s="1">
        <v>10760</v>
      </c>
      <c r="E327" t="str">
        <f>VLOOKUP(A327,Sheet2!A:E,5,)</f>
        <v>GLEN FIDDICH SINGLE MALT 18 YEAR OLD</v>
      </c>
      <c r="F327" t="s">
        <v>4</v>
      </c>
      <c r="G327" s="3">
        <v>9602.58</v>
      </c>
      <c r="H327" s="1">
        <v>10760</v>
      </c>
    </row>
    <row r="328" spans="1:8" x14ac:dyDescent="0.35">
      <c r="A328" s="2" t="s">
        <v>553</v>
      </c>
      <c r="B328" s="2" t="s">
        <v>367</v>
      </c>
      <c r="C328" s="3">
        <v>18554.36</v>
      </c>
      <c r="D328" s="1">
        <v>20790</v>
      </c>
      <c r="E328" t="str">
        <f>VLOOKUP(A328,Sheet2!A:E,5,)</f>
        <v>GLEN FIDDICH SINGLE MALT 21Y</v>
      </c>
      <c r="F328" t="s">
        <v>4</v>
      </c>
      <c r="G328" s="3">
        <v>18554.36</v>
      </c>
      <c r="H328" s="1">
        <v>20790</v>
      </c>
    </row>
    <row r="329" spans="1:8" x14ac:dyDescent="0.35">
      <c r="A329" s="2" t="s">
        <v>554</v>
      </c>
      <c r="B329" s="2" t="s">
        <v>369</v>
      </c>
      <c r="C329" s="3">
        <v>3356.91</v>
      </c>
      <c r="D329" s="1">
        <v>3760</v>
      </c>
      <c r="E329" t="str">
        <f>VLOOKUP(A329,Sheet2!A:E,5,)</f>
        <v>GLEN GRANT 10 YO</v>
      </c>
      <c r="F329" t="s">
        <v>4</v>
      </c>
      <c r="G329" s="3">
        <v>3356.91</v>
      </c>
      <c r="H329" s="1">
        <v>3760</v>
      </c>
    </row>
    <row r="330" spans="1:8" x14ac:dyDescent="0.35">
      <c r="A330" s="2" t="s">
        <v>555</v>
      </c>
      <c r="B330" s="2" t="s">
        <v>369</v>
      </c>
      <c r="C330" s="3">
        <v>3717.5</v>
      </c>
      <c r="D330" s="1">
        <v>4170</v>
      </c>
      <c r="E330" t="str">
        <f>VLOOKUP(A330,Sheet2!A:E,5,)</f>
        <v>GLEN GRANT 12 YO</v>
      </c>
      <c r="F330" t="s">
        <v>4</v>
      </c>
      <c r="G330" s="3">
        <v>3717.5</v>
      </c>
      <c r="H330" s="1">
        <v>4170</v>
      </c>
    </row>
    <row r="331" spans="1:8" x14ac:dyDescent="0.35">
      <c r="A331" s="2" t="s">
        <v>556</v>
      </c>
      <c r="B331" s="2" t="s">
        <v>369</v>
      </c>
      <c r="C331" s="3">
        <v>6541</v>
      </c>
      <c r="D331" s="1">
        <v>7330</v>
      </c>
      <c r="E331" t="str">
        <f>VLOOKUP(A331,Sheet2!A:E,5,)</f>
        <v>GLEN GRANT SINGLE MALT 18YEARS</v>
      </c>
      <c r="F331" t="s">
        <v>4</v>
      </c>
      <c r="G331" s="3">
        <v>6541</v>
      </c>
      <c r="H331" s="1">
        <v>7330</v>
      </c>
    </row>
    <row r="332" spans="1:8" x14ac:dyDescent="0.35">
      <c r="A332" s="2" t="s">
        <v>104</v>
      </c>
      <c r="B332" s="2" t="s">
        <v>369</v>
      </c>
      <c r="C332" s="3">
        <v>5036.53</v>
      </c>
      <c r="D332" s="1">
        <v>5650</v>
      </c>
      <c r="E332" t="str">
        <f>VLOOKUP(A332,Sheet2!A:E,5,)</f>
        <v>GLENKINCHIE 12 YO</v>
      </c>
      <c r="F332" t="s">
        <v>4</v>
      </c>
      <c r="G332" s="3">
        <v>5036.53</v>
      </c>
      <c r="H332" s="1">
        <v>5650</v>
      </c>
    </row>
    <row r="333" spans="1:8" x14ac:dyDescent="0.35">
      <c r="A333" s="2" t="s">
        <v>105</v>
      </c>
      <c r="B333" s="2" t="s">
        <v>372</v>
      </c>
      <c r="C333" s="3">
        <v>400.79</v>
      </c>
      <c r="D333" s="1">
        <v>450</v>
      </c>
      <c r="E333" t="str">
        <f>VLOOKUP(A333,Sheet2!A:E,5,)</f>
        <v>GLENLIVET 12 YEAR MALT SCOTCH</v>
      </c>
      <c r="F333" t="s">
        <v>374</v>
      </c>
      <c r="G333" s="3">
        <v>400.79</v>
      </c>
      <c r="H333" s="1">
        <v>450</v>
      </c>
    </row>
    <row r="334" spans="1:8" x14ac:dyDescent="0.35">
      <c r="A334" s="2" t="s">
        <v>106</v>
      </c>
      <c r="B334" s="2" t="s">
        <v>369</v>
      </c>
      <c r="C334" s="3">
        <v>3075.63</v>
      </c>
      <c r="D334" s="1">
        <v>3450</v>
      </c>
      <c r="E334" t="str">
        <f>VLOOKUP(A334,Sheet2!A:E,5,)</f>
        <v>GLENLIVET 12 YEAR MALT SCOTCH</v>
      </c>
      <c r="F334" t="s">
        <v>4</v>
      </c>
      <c r="G334" s="3">
        <v>3075.63</v>
      </c>
      <c r="H334" s="1">
        <v>3450</v>
      </c>
    </row>
    <row r="335" spans="1:8" x14ac:dyDescent="0.35">
      <c r="A335" s="2" t="s">
        <v>107</v>
      </c>
      <c r="B335" s="2" t="s">
        <v>367</v>
      </c>
      <c r="C335" s="3">
        <v>4726.33</v>
      </c>
      <c r="D335" s="1">
        <v>5300</v>
      </c>
      <c r="E335" t="str">
        <f>VLOOKUP(A335,Sheet2!A:E,5,)</f>
        <v>GLENLIVET 15 YEAR MALT SCOTCH</v>
      </c>
      <c r="F335" t="s">
        <v>4</v>
      </c>
      <c r="G335" s="3">
        <v>4726.33</v>
      </c>
      <c r="H335" s="1">
        <v>5300</v>
      </c>
    </row>
    <row r="336" spans="1:8" x14ac:dyDescent="0.35">
      <c r="A336" s="2" t="s">
        <v>557</v>
      </c>
      <c r="B336" s="2" t="s">
        <v>367</v>
      </c>
      <c r="C336" s="3">
        <v>6374.6</v>
      </c>
      <c r="D336" s="1">
        <v>7140</v>
      </c>
      <c r="E336" t="str">
        <f>VLOOKUP(A336,Sheet2!A:E,5,)</f>
        <v>GLENLIVET 18Y MALT SCOTCH 700 6 PCS</v>
      </c>
      <c r="F336" t="s">
        <v>4</v>
      </c>
      <c r="G336" s="3">
        <v>6374.6</v>
      </c>
      <c r="H336" s="1">
        <v>7140</v>
      </c>
    </row>
    <row r="337" spans="1:8" x14ac:dyDescent="0.35">
      <c r="A337" s="2" t="s">
        <v>108</v>
      </c>
      <c r="B337" s="2" t="s">
        <v>369</v>
      </c>
      <c r="C337" s="3">
        <v>3042.29</v>
      </c>
      <c r="D337" s="1">
        <v>3410</v>
      </c>
      <c r="E337" t="str">
        <f>VLOOKUP(A337,Sheet2!A:E,5,)</f>
        <v>GLENLIVET CARIBBEAN RESERVE SINGLE MALT</v>
      </c>
      <c r="F337" t="s">
        <v>4</v>
      </c>
      <c r="G337" s="3">
        <v>3042.29</v>
      </c>
      <c r="H337" s="1">
        <v>3410</v>
      </c>
    </row>
    <row r="338" spans="1:8" x14ac:dyDescent="0.35">
      <c r="A338" s="2" t="s">
        <v>109</v>
      </c>
      <c r="B338" s="2" t="s">
        <v>367</v>
      </c>
      <c r="C338" s="3">
        <v>3073.27</v>
      </c>
      <c r="D338" s="1">
        <v>3450</v>
      </c>
      <c r="E338" t="str">
        <f>VLOOKUP(A338,Sheet2!A:E,5,)</f>
        <v>GLENLIVET SINGLE MALT12Y</v>
      </c>
      <c r="F338" t="s">
        <v>4</v>
      </c>
      <c r="G338" s="3">
        <v>3073.27</v>
      </c>
      <c r="H338" s="1">
        <v>3450</v>
      </c>
    </row>
    <row r="339" spans="1:8" x14ac:dyDescent="0.35">
      <c r="A339" s="2" t="s">
        <v>110</v>
      </c>
      <c r="B339" s="2" t="s">
        <v>369</v>
      </c>
      <c r="C339" s="3">
        <v>4271.99</v>
      </c>
      <c r="D339" s="1">
        <v>4790</v>
      </c>
      <c r="E339" t="str">
        <f>VLOOKUP(A339,Sheet2!A:E,5,)</f>
        <v>GLENMORANGIE 10 YO</v>
      </c>
      <c r="F339" t="s">
        <v>4</v>
      </c>
      <c r="G339" s="3">
        <v>4271.99</v>
      </c>
      <c r="H339" s="1">
        <v>4790</v>
      </c>
    </row>
    <row r="340" spans="1:8" x14ac:dyDescent="0.35">
      <c r="A340" s="2" t="s">
        <v>558</v>
      </c>
      <c r="B340" s="2" t="s">
        <v>369</v>
      </c>
      <c r="C340" s="3">
        <v>4213.59</v>
      </c>
      <c r="D340" s="1">
        <v>4720</v>
      </c>
      <c r="E340" t="str">
        <f>VLOOKUP(A340,Sheet2!A:E,5,)</f>
        <v>GLENMORANGIE 12 YO</v>
      </c>
      <c r="F340" t="s">
        <v>4</v>
      </c>
      <c r="G340" s="3">
        <v>4213.59</v>
      </c>
      <c r="H340" s="1">
        <v>4720</v>
      </c>
    </row>
    <row r="341" spans="1:8" x14ac:dyDescent="0.35">
      <c r="A341" s="2" t="s">
        <v>111</v>
      </c>
      <c r="B341" s="2" t="s">
        <v>369</v>
      </c>
      <c r="C341" s="3">
        <v>5273.32</v>
      </c>
      <c r="D341" s="1">
        <v>5910</v>
      </c>
      <c r="E341" t="str">
        <f>VLOOKUP(A341,Sheet2!A:E,5,)</f>
        <v>GLENMORANGIE LASANTA</v>
      </c>
      <c r="F341" t="s">
        <v>4</v>
      </c>
      <c r="G341" s="3">
        <v>5273.32</v>
      </c>
      <c r="H341" s="1">
        <v>5910</v>
      </c>
    </row>
    <row r="342" spans="1:8" x14ac:dyDescent="0.35">
      <c r="A342" s="2" t="s">
        <v>559</v>
      </c>
      <c r="B342" s="2" t="s">
        <v>367</v>
      </c>
      <c r="C342" s="3">
        <v>3763.06</v>
      </c>
      <c r="D342" s="1">
        <v>4220</v>
      </c>
      <c r="E342" t="str">
        <f>VLOOKUP(A342,Sheet2!A:E,5,)</f>
        <v>GODAWAN SINGLE MALT RICH/FRUIT</v>
      </c>
      <c r="F342" t="s">
        <v>4</v>
      </c>
      <c r="G342" s="3">
        <v>3763.06</v>
      </c>
      <c r="H342" s="1">
        <v>4220</v>
      </c>
    </row>
    <row r="343" spans="1:8" x14ac:dyDescent="0.35">
      <c r="A343" s="2" t="s">
        <v>560</v>
      </c>
      <c r="B343" s="2" t="s">
        <v>368</v>
      </c>
      <c r="C343" s="3">
        <v>466.84</v>
      </c>
      <c r="D343" s="1">
        <v>530</v>
      </c>
      <c r="E343" t="str">
        <f>VLOOKUP(A343,Sheet2!A:E,5,)</f>
        <v>GOLDEN CIRCLE WHISKY</v>
      </c>
      <c r="F343" t="s">
        <v>374</v>
      </c>
      <c r="G343" s="3">
        <v>466.84</v>
      </c>
      <c r="H343" s="1">
        <v>530</v>
      </c>
    </row>
    <row r="344" spans="1:8" x14ac:dyDescent="0.35">
      <c r="A344" s="2" t="s">
        <v>560</v>
      </c>
      <c r="B344" s="2" t="s">
        <v>370</v>
      </c>
      <c r="C344" s="3">
        <v>960.92</v>
      </c>
      <c r="D344" s="1">
        <v>1080</v>
      </c>
      <c r="E344" t="str">
        <f>VLOOKUP(A344,Sheet2!A:E,5,)</f>
        <v>GOLDEN CIRCLE WHISKY</v>
      </c>
      <c r="F344" t="s">
        <v>5</v>
      </c>
      <c r="G344" s="3">
        <v>960.92</v>
      </c>
      <c r="H344" s="1">
        <v>1080</v>
      </c>
    </row>
    <row r="345" spans="1:8" x14ac:dyDescent="0.35">
      <c r="A345" s="2" t="s">
        <v>561</v>
      </c>
      <c r="B345" s="2" t="s">
        <v>369</v>
      </c>
      <c r="C345" s="3">
        <v>1861.83</v>
      </c>
      <c r="D345" s="1">
        <v>2090</v>
      </c>
      <c r="E345" t="str">
        <f>VLOOKUP(A345,Sheet2!A:E,5,)</f>
        <v>GOLDEN CIRCLE WHISKY</v>
      </c>
      <c r="F345" t="s">
        <v>4</v>
      </c>
      <c r="G345" s="3">
        <v>1861.83</v>
      </c>
      <c r="H345" s="1">
        <v>2090</v>
      </c>
    </row>
    <row r="346" spans="1:8" x14ac:dyDescent="0.35">
      <c r="A346" s="2" t="s">
        <v>562</v>
      </c>
      <c r="B346" s="2" t="s">
        <v>368</v>
      </c>
      <c r="C346" s="3">
        <v>224.72</v>
      </c>
      <c r="D346" s="1">
        <v>260</v>
      </c>
      <c r="E346" t="str">
        <f>VLOOKUP(A346,Sheet2!A:E,5,)</f>
        <v>GOLDEN OAK BARREL WHISKY</v>
      </c>
      <c r="F346" t="s">
        <v>374</v>
      </c>
      <c r="G346" s="3">
        <v>224.72</v>
      </c>
      <c r="H346" s="1">
        <v>260</v>
      </c>
    </row>
    <row r="347" spans="1:8" x14ac:dyDescent="0.35">
      <c r="A347" s="2" t="s">
        <v>563</v>
      </c>
      <c r="B347" s="2" t="s">
        <v>370</v>
      </c>
      <c r="C347" s="3">
        <v>457.44</v>
      </c>
      <c r="D347" s="1">
        <v>520</v>
      </c>
      <c r="E347" t="str">
        <f>VLOOKUP(A347,Sheet2!A:E,5,)</f>
        <v>GOLDEN OAK BARREL WHISKY</v>
      </c>
      <c r="F347" t="s">
        <v>5</v>
      </c>
      <c r="G347" s="3">
        <v>457.44</v>
      </c>
      <c r="H347" s="1">
        <v>520</v>
      </c>
    </row>
    <row r="348" spans="1:8" x14ac:dyDescent="0.35">
      <c r="A348" s="2" t="s">
        <v>564</v>
      </c>
      <c r="B348" s="2" t="s">
        <v>369</v>
      </c>
      <c r="C348" s="3">
        <v>894.98</v>
      </c>
      <c r="D348" s="1">
        <v>1010</v>
      </c>
      <c r="E348" t="str">
        <f>VLOOKUP(A348,Sheet2!A:E,5,)</f>
        <v>GOLDEN OAK BARREL WHISKY</v>
      </c>
      <c r="F348" t="s">
        <v>4</v>
      </c>
      <c r="G348" s="3">
        <v>894.98</v>
      </c>
      <c r="H348" s="1">
        <v>1010</v>
      </c>
    </row>
    <row r="349" spans="1:8" x14ac:dyDescent="0.35">
      <c r="A349" s="2" t="s">
        <v>112</v>
      </c>
      <c r="B349" s="2" t="s">
        <v>371</v>
      </c>
      <c r="C349" s="3">
        <v>117.42</v>
      </c>
      <c r="D349" s="1">
        <v>140</v>
      </c>
      <c r="E349" t="str">
        <f>VLOOKUP(A349,Sheet2!A:E,5,)</f>
        <v>GOLDEN OAK BARREL WHISKY</v>
      </c>
      <c r="F349" t="s">
        <v>376</v>
      </c>
      <c r="G349" s="3">
        <v>117.42</v>
      </c>
      <c r="H349" s="1">
        <v>140</v>
      </c>
    </row>
    <row r="350" spans="1:8" x14ac:dyDescent="0.35">
      <c r="A350" s="2" t="s">
        <v>565</v>
      </c>
      <c r="B350" s="2" t="s">
        <v>370</v>
      </c>
      <c r="C350" s="3">
        <v>1240.23</v>
      </c>
      <c r="D350" s="1">
        <v>1390</v>
      </c>
      <c r="E350" t="str">
        <f>VLOOKUP(A350,Sheet2!A:E,5,)</f>
        <v>GOLDEN SPARROW PINOT</v>
      </c>
      <c r="F350" t="s">
        <v>5</v>
      </c>
      <c r="G350" s="3">
        <v>1240.23</v>
      </c>
      <c r="H350" s="1">
        <v>1390</v>
      </c>
    </row>
    <row r="351" spans="1:8" x14ac:dyDescent="0.35">
      <c r="A351" s="2" t="s">
        <v>566</v>
      </c>
      <c r="B351" s="2" t="s">
        <v>369</v>
      </c>
      <c r="C351" s="3">
        <v>1476.14</v>
      </c>
      <c r="D351" s="1">
        <v>1660</v>
      </c>
      <c r="E351" t="str">
        <f>VLOOKUP(A351,Sheet2!A:E,5,)</f>
        <v>GOLDEN SPARROW PINOT</v>
      </c>
      <c r="F351" t="s">
        <v>4</v>
      </c>
      <c r="G351" s="3">
        <v>1476.14</v>
      </c>
      <c r="H351" s="1">
        <v>1660</v>
      </c>
    </row>
    <row r="352" spans="1:8" x14ac:dyDescent="0.35">
      <c r="A352" s="2" t="s">
        <v>567</v>
      </c>
      <c r="B352" s="2" t="s">
        <v>369</v>
      </c>
      <c r="C352" s="3">
        <v>2171.91</v>
      </c>
      <c r="D352" s="1">
        <v>2440</v>
      </c>
      <c r="E352" t="str">
        <f>VLOOKUP(A352,Sheet2!A:E,5,)</f>
        <v>GOLDEN SPARROW SANGIOVESE</v>
      </c>
      <c r="F352" t="s">
        <v>4</v>
      </c>
      <c r="G352" s="3">
        <v>2171.91</v>
      </c>
      <c r="H352" s="1">
        <v>2440</v>
      </c>
    </row>
    <row r="353" spans="1:8" x14ac:dyDescent="0.35">
      <c r="A353" s="2" t="s">
        <v>568</v>
      </c>
      <c r="B353" s="2" t="s">
        <v>368</v>
      </c>
      <c r="C353" s="3">
        <v>253.52</v>
      </c>
      <c r="D353" s="1">
        <v>290</v>
      </c>
      <c r="E353" t="str">
        <f>VLOOKUP(A353,Sheet2!A:E,5,)</f>
        <v>GOLFERS SHOT 18 BLENDED WHISKY</v>
      </c>
      <c r="F353" t="s">
        <v>374</v>
      </c>
      <c r="G353" s="3">
        <v>253.52</v>
      </c>
      <c r="H353" s="1">
        <v>290</v>
      </c>
    </row>
    <row r="354" spans="1:8" x14ac:dyDescent="0.35">
      <c r="A354" s="2" t="s">
        <v>568</v>
      </c>
      <c r="B354" s="2" t="s">
        <v>370</v>
      </c>
      <c r="C354" s="3">
        <v>504.99</v>
      </c>
      <c r="D354" s="1">
        <v>570</v>
      </c>
      <c r="E354" t="str">
        <f>VLOOKUP(A354,Sheet2!A:E,5,)</f>
        <v>GOLFERS SHOT 18 BLENDED WHISKY</v>
      </c>
      <c r="F354" t="s">
        <v>5</v>
      </c>
      <c r="G354" s="3">
        <v>504.99</v>
      </c>
      <c r="H354" s="1">
        <v>570</v>
      </c>
    </row>
    <row r="355" spans="1:8" x14ac:dyDescent="0.35">
      <c r="A355" s="2" t="s">
        <v>568</v>
      </c>
      <c r="B355" s="2" t="s">
        <v>369</v>
      </c>
      <c r="C355" s="3">
        <v>990.05</v>
      </c>
      <c r="D355" s="1">
        <v>1110</v>
      </c>
      <c r="E355" t="str">
        <f>VLOOKUP(A355,Sheet2!A:E,5,)</f>
        <v>GOLFERS SHOT 18 BLENDED WHISKY</v>
      </c>
      <c r="F355" t="s">
        <v>4</v>
      </c>
      <c r="G355" s="3">
        <v>990.05</v>
      </c>
      <c r="H355" s="1">
        <v>1110</v>
      </c>
    </row>
    <row r="356" spans="1:8" x14ac:dyDescent="0.35">
      <c r="A356" s="2" t="s">
        <v>569</v>
      </c>
      <c r="B356" s="2" t="s">
        <v>368</v>
      </c>
      <c r="C356" s="3">
        <v>215.6</v>
      </c>
      <c r="D356" s="1">
        <v>250</v>
      </c>
      <c r="E356" t="str">
        <f>VLOOKUP(A356,Sheet2!A:E,5,)</f>
        <v>GOLFERS SHOT WHISKY</v>
      </c>
      <c r="F356" t="s">
        <v>374</v>
      </c>
      <c r="G356" s="3">
        <v>215.6</v>
      </c>
      <c r="H356" s="1">
        <v>250</v>
      </c>
    </row>
    <row r="357" spans="1:8" x14ac:dyDescent="0.35">
      <c r="A357" s="2" t="s">
        <v>569</v>
      </c>
      <c r="B357" s="2" t="s">
        <v>370</v>
      </c>
      <c r="C357" s="3">
        <v>429.23</v>
      </c>
      <c r="D357" s="1">
        <v>490</v>
      </c>
      <c r="E357" t="str">
        <f>VLOOKUP(A357,Sheet2!A:E,5,)</f>
        <v>GOLFERS SHOT WHISKY</v>
      </c>
      <c r="F357" t="s">
        <v>5</v>
      </c>
      <c r="G357" s="3">
        <v>429.23</v>
      </c>
      <c r="H357" s="1">
        <v>490</v>
      </c>
    </row>
    <row r="358" spans="1:8" x14ac:dyDescent="0.35">
      <c r="A358" s="2" t="s">
        <v>569</v>
      </c>
      <c r="B358" s="2" t="s">
        <v>369</v>
      </c>
      <c r="C358" s="3">
        <v>828.48</v>
      </c>
      <c r="D358" s="1">
        <v>930</v>
      </c>
      <c r="E358" t="str">
        <f>VLOOKUP(A358,Sheet2!A:E,5,)</f>
        <v>GOLFERS SHOT WHISKY</v>
      </c>
      <c r="F358" t="s">
        <v>4</v>
      </c>
      <c r="G358" s="3">
        <v>828.48</v>
      </c>
      <c r="H358" s="1">
        <v>930</v>
      </c>
    </row>
    <row r="359" spans="1:8" x14ac:dyDescent="0.35">
      <c r="A359" s="2" t="s">
        <v>113</v>
      </c>
      <c r="B359" s="2" t="s">
        <v>368</v>
      </c>
      <c r="C359" s="3">
        <v>102.75</v>
      </c>
      <c r="D359" s="1">
        <v>120</v>
      </c>
      <c r="E359" t="str">
        <f>VLOOKUP(A359,Sheet2!A:E,5,)</f>
        <v>GR8 TIMES PREMIUM GREEN APPLE/ WHISKY</v>
      </c>
      <c r="F359" t="s">
        <v>374</v>
      </c>
      <c r="G359" s="3">
        <v>102.75</v>
      </c>
      <c r="H359" s="1">
        <v>120</v>
      </c>
    </row>
    <row r="360" spans="1:8" x14ac:dyDescent="0.35">
      <c r="A360" s="2" t="s">
        <v>570</v>
      </c>
      <c r="B360" s="2" t="s">
        <v>368</v>
      </c>
      <c r="C360" s="3">
        <v>345.1</v>
      </c>
      <c r="D360" s="1">
        <v>390</v>
      </c>
      <c r="E360" t="str">
        <f>VLOOKUP(A360,Sheet2!A:E,5,)</f>
        <v>GRANTS DISTINCTION</v>
      </c>
      <c r="F360" t="s">
        <v>374</v>
      </c>
      <c r="G360" s="3">
        <v>345.1</v>
      </c>
      <c r="H360" s="1">
        <v>390</v>
      </c>
    </row>
    <row r="361" spans="1:8" x14ac:dyDescent="0.35">
      <c r="A361" s="2" t="s">
        <v>571</v>
      </c>
      <c r="B361" s="2" t="s">
        <v>369</v>
      </c>
      <c r="C361" s="3">
        <v>1682.48</v>
      </c>
      <c r="D361" s="1">
        <v>1890</v>
      </c>
      <c r="E361" t="str">
        <f>VLOOKUP(A361,Sheet2!A:E,5,)</f>
        <v>GRANTS DISTINCTION</v>
      </c>
      <c r="F361" t="s">
        <v>4</v>
      </c>
      <c r="G361" s="3">
        <v>1682.48</v>
      </c>
      <c r="H361" s="1">
        <v>1890</v>
      </c>
    </row>
    <row r="362" spans="1:8" x14ac:dyDescent="0.35">
      <c r="A362" s="2" t="s">
        <v>114</v>
      </c>
      <c r="B362" s="2" t="s">
        <v>372</v>
      </c>
      <c r="C362" s="3">
        <v>160.08000000000001</v>
      </c>
      <c r="D362" s="1">
        <v>180</v>
      </c>
      <c r="E362" t="str">
        <f>VLOOKUP(A362,Sheet2!A:E,5,)</f>
        <v>GRANTS FAMILY RESERVE</v>
      </c>
      <c r="F362" t="s">
        <v>374</v>
      </c>
      <c r="G362" s="3">
        <v>160.08000000000001</v>
      </c>
      <c r="H362" s="1">
        <v>180</v>
      </c>
    </row>
    <row r="363" spans="1:8" x14ac:dyDescent="0.35">
      <c r="A363" s="2" t="s">
        <v>115</v>
      </c>
      <c r="B363" s="2" t="s">
        <v>369</v>
      </c>
      <c r="C363" s="3">
        <v>1733.9</v>
      </c>
      <c r="D363" s="1">
        <v>1950</v>
      </c>
      <c r="E363" t="str">
        <f>VLOOKUP(A363,Sheet2!A:E,5,)</f>
        <v>GRANTS TRIPLE WOOD</v>
      </c>
      <c r="F363" t="s">
        <v>4</v>
      </c>
      <c r="G363" s="3">
        <v>1733.9</v>
      </c>
      <c r="H363" s="1">
        <v>1950</v>
      </c>
    </row>
    <row r="364" spans="1:8" x14ac:dyDescent="0.35">
      <c r="A364" s="2" t="s">
        <v>572</v>
      </c>
      <c r="B364" s="2" t="s">
        <v>368</v>
      </c>
      <c r="C364" s="3">
        <v>302.02999999999997</v>
      </c>
      <c r="D364" s="1">
        <v>340</v>
      </c>
      <c r="E364" t="str">
        <f>VLOOKUP(A364,Sheet2!A:E,5,)</f>
        <v>GREATER THAN LONDON DRY</v>
      </c>
      <c r="F364" t="s">
        <v>374</v>
      </c>
      <c r="G364" s="3">
        <v>302.02999999999997</v>
      </c>
      <c r="H364" s="1">
        <v>340</v>
      </c>
    </row>
    <row r="365" spans="1:8" x14ac:dyDescent="0.35">
      <c r="A365" s="2" t="s">
        <v>573</v>
      </c>
      <c r="B365" s="2" t="s">
        <v>369</v>
      </c>
      <c r="C365" s="3">
        <v>1213.45</v>
      </c>
      <c r="D365" s="1">
        <v>1360</v>
      </c>
      <c r="E365" t="str">
        <f>VLOOKUP(A365,Sheet2!A:E,5,)</f>
        <v>GREATER THAN LONDON DRY</v>
      </c>
      <c r="F365" t="s">
        <v>4</v>
      </c>
      <c r="G365" s="3">
        <v>1213.45</v>
      </c>
      <c r="H365" s="1">
        <v>1360</v>
      </c>
    </row>
    <row r="366" spans="1:8" x14ac:dyDescent="0.35">
      <c r="A366" s="4" t="s">
        <v>948</v>
      </c>
      <c r="B366" s="2" t="s">
        <v>368</v>
      </c>
      <c r="C366" s="3">
        <v>1030.28</v>
      </c>
      <c r="D366" s="1">
        <v>1160</v>
      </c>
      <c r="E366" t="str">
        <f>VLOOKUP(A366,Sheet2!A:E,5,)</f>
        <v>GREY GOOSE</v>
      </c>
      <c r="F366" t="s">
        <v>374</v>
      </c>
      <c r="G366" s="3">
        <v>1030.28</v>
      </c>
      <c r="H366" s="1">
        <v>1160</v>
      </c>
    </row>
    <row r="367" spans="1:8" x14ac:dyDescent="0.35">
      <c r="A367" s="2" t="s">
        <v>116</v>
      </c>
      <c r="B367" s="2" t="s">
        <v>369</v>
      </c>
      <c r="C367" s="3">
        <v>3016.48</v>
      </c>
      <c r="D367" s="1">
        <v>3380</v>
      </c>
      <c r="E367" t="str">
        <f>VLOOKUP(A367,Sheet2!A:E,5,)</f>
        <v>GREY GROOSE VODKA</v>
      </c>
      <c r="F367" t="s">
        <v>4</v>
      </c>
      <c r="G367" s="3">
        <v>3016.48</v>
      </c>
      <c r="H367" s="1">
        <v>3380</v>
      </c>
    </row>
    <row r="368" spans="1:8" x14ac:dyDescent="0.35">
      <c r="A368" s="2" t="s">
        <v>117</v>
      </c>
      <c r="B368" s="2" t="s">
        <v>367</v>
      </c>
      <c r="C368" s="3">
        <v>4746</v>
      </c>
      <c r="D368" s="1">
        <v>5320</v>
      </c>
      <c r="E368" t="str">
        <f>VLOOKUP(A368,Sheet2!A:E,5,)</f>
        <v>GUNPOWDER IRISH GIN</v>
      </c>
      <c r="F368" t="s">
        <v>4</v>
      </c>
      <c r="G368" s="3">
        <v>4746</v>
      </c>
      <c r="H368" s="1">
        <v>5320</v>
      </c>
    </row>
    <row r="369" spans="1:8" x14ac:dyDescent="0.35">
      <c r="A369" s="2" t="s">
        <v>574</v>
      </c>
      <c r="B369" s="2" t="s">
        <v>369</v>
      </c>
      <c r="C369" s="3">
        <v>3419.06</v>
      </c>
      <c r="D369" s="1">
        <v>3830</v>
      </c>
      <c r="E369" t="str">
        <f>VLOOKUP(A369,Sheet2!A:E,5,)</f>
        <v>HAPUSA HIMALAYAN DRY GIN</v>
      </c>
      <c r="F369" t="s">
        <v>4</v>
      </c>
      <c r="G369" s="3">
        <v>3419.06</v>
      </c>
      <c r="H369" s="1">
        <v>3830</v>
      </c>
    </row>
    <row r="370" spans="1:8" x14ac:dyDescent="0.35">
      <c r="A370" s="2" t="s">
        <v>575</v>
      </c>
      <c r="B370" s="2" t="s">
        <v>369</v>
      </c>
      <c r="C370" s="3">
        <v>947.66</v>
      </c>
      <c r="D370" s="1">
        <v>1070</v>
      </c>
      <c r="E370" t="str">
        <f>VLOOKUP(A370,Sheet2!A:E,5,)</f>
        <v>HARDY STAMP OF AUS CAB MERLOT</v>
      </c>
      <c r="F370" t="s">
        <v>4</v>
      </c>
      <c r="G370" s="3">
        <v>947.66</v>
      </c>
      <c r="H370" s="1">
        <v>1070</v>
      </c>
    </row>
    <row r="371" spans="1:8" x14ac:dyDescent="0.35">
      <c r="A371" s="2" t="s">
        <v>576</v>
      </c>
      <c r="B371" s="2" t="s">
        <v>367</v>
      </c>
      <c r="C371" s="3">
        <v>2409.38</v>
      </c>
      <c r="D371" s="1">
        <v>2700</v>
      </c>
      <c r="E371" t="str">
        <f>VLOOKUP(A371,Sheet2!A:E,5,)</f>
        <v>HAVANA CLUB 7 YEARS RUM</v>
      </c>
      <c r="F371" t="s">
        <v>4</v>
      </c>
      <c r="G371" s="3">
        <v>2409.38</v>
      </c>
      <c r="H371" s="1">
        <v>2700</v>
      </c>
    </row>
    <row r="372" spans="1:8" x14ac:dyDescent="0.35">
      <c r="A372" s="2" t="s">
        <v>577</v>
      </c>
      <c r="B372" s="2" t="s">
        <v>368</v>
      </c>
      <c r="C372" s="3">
        <v>167.71</v>
      </c>
      <c r="D372" s="1">
        <v>190</v>
      </c>
      <c r="E372" t="str">
        <f>VLOOKUP(A372,Sheet2!A:E,5,)</f>
        <v>HAWKSTON NOBLE RES WHISKY</v>
      </c>
      <c r="F372" t="s">
        <v>374</v>
      </c>
      <c r="G372" s="3">
        <v>167.71</v>
      </c>
      <c r="H372" s="1">
        <v>190</v>
      </c>
    </row>
    <row r="373" spans="1:8" x14ac:dyDescent="0.35">
      <c r="A373" s="2" t="s">
        <v>577</v>
      </c>
      <c r="B373" s="2" t="s">
        <v>370</v>
      </c>
      <c r="C373" s="3">
        <v>342.72</v>
      </c>
      <c r="D373" s="1">
        <v>390</v>
      </c>
      <c r="E373" t="str">
        <f>VLOOKUP(A373,Sheet2!A:E,5,)</f>
        <v>HAWKSTON NOBLE RES WHISKY</v>
      </c>
      <c r="F373" t="s">
        <v>5</v>
      </c>
      <c r="G373" s="3">
        <v>342.72</v>
      </c>
      <c r="H373" s="1">
        <v>390</v>
      </c>
    </row>
    <row r="374" spans="1:8" x14ac:dyDescent="0.35">
      <c r="A374" s="2" t="s">
        <v>577</v>
      </c>
      <c r="B374" s="2" t="s">
        <v>369</v>
      </c>
      <c r="C374" s="3">
        <v>664.91</v>
      </c>
      <c r="D374" s="1">
        <v>750</v>
      </c>
      <c r="E374" t="str">
        <f>VLOOKUP(A374,Sheet2!A:E,5,)</f>
        <v>HAWKSTON NOBLE RES WHISKY</v>
      </c>
      <c r="F374" t="s">
        <v>4</v>
      </c>
      <c r="G374" s="3">
        <v>664.91</v>
      </c>
      <c r="H374" s="1">
        <v>750</v>
      </c>
    </row>
    <row r="375" spans="1:8" x14ac:dyDescent="0.35">
      <c r="A375" s="2" t="s">
        <v>118</v>
      </c>
      <c r="B375" s="2" t="s">
        <v>367</v>
      </c>
      <c r="C375" s="3">
        <v>4075.46</v>
      </c>
      <c r="D375" s="1">
        <v>4570</v>
      </c>
      <c r="E375" t="str">
        <f>VLOOKUP(A375,Sheet2!A:E,5,)</f>
        <v>HENDRICK'S FLORA ADORA GIN</v>
      </c>
      <c r="F375" t="s">
        <v>4</v>
      </c>
      <c r="G375" s="3">
        <v>4075.46</v>
      </c>
      <c r="H375" s="1">
        <v>4570</v>
      </c>
    </row>
    <row r="376" spans="1:8" x14ac:dyDescent="0.35">
      <c r="A376" s="2" t="s">
        <v>119</v>
      </c>
      <c r="B376" s="2" t="s">
        <v>367</v>
      </c>
      <c r="C376" s="3">
        <v>3499.42</v>
      </c>
      <c r="D376" s="1">
        <v>3920</v>
      </c>
      <c r="E376" t="str">
        <f>VLOOKUP(A376,Sheet2!A:E,5,)</f>
        <v>HENDRICK'S GIN</v>
      </c>
      <c r="F376" t="s">
        <v>4</v>
      </c>
      <c r="G376" s="3">
        <v>3499.42</v>
      </c>
      <c r="H376" s="1">
        <v>3920</v>
      </c>
    </row>
    <row r="377" spans="1:8" x14ac:dyDescent="0.35">
      <c r="A377" s="2" t="s">
        <v>578</v>
      </c>
      <c r="B377" s="2" t="s">
        <v>370</v>
      </c>
      <c r="C377" s="3">
        <v>539.20000000000005</v>
      </c>
      <c r="D377" s="1">
        <v>610</v>
      </c>
      <c r="E377" t="str">
        <f>VLOOKUP(A377,Sheet2!A:E,5,)</f>
        <v>HENKELL SPARKLING</v>
      </c>
      <c r="F377" t="s">
        <v>5</v>
      </c>
      <c r="G377" s="3">
        <v>539.20000000000005</v>
      </c>
      <c r="H377" s="1">
        <v>610</v>
      </c>
    </row>
    <row r="378" spans="1:8" x14ac:dyDescent="0.35">
      <c r="A378" s="2" t="s">
        <v>120</v>
      </c>
      <c r="B378" s="2" t="s">
        <v>368</v>
      </c>
      <c r="C378" s="3">
        <v>548.72</v>
      </c>
      <c r="D378" s="1">
        <v>620</v>
      </c>
      <c r="E378" t="str">
        <f>VLOOKUP(A378,Sheet2!A:E,5,)</f>
        <v>HENKELL TROCKEN FINEST SPARKLING WINE</v>
      </c>
      <c r="F378" t="s">
        <v>374</v>
      </c>
      <c r="G378" s="3">
        <v>548.72</v>
      </c>
      <c r="H378" s="1">
        <v>620</v>
      </c>
    </row>
    <row r="379" spans="1:8" x14ac:dyDescent="0.35">
      <c r="A379" s="2" t="s">
        <v>579</v>
      </c>
      <c r="B379" s="2" t="s">
        <v>369</v>
      </c>
      <c r="C379" s="3">
        <v>1652.82</v>
      </c>
      <c r="D379" s="1">
        <v>1860</v>
      </c>
      <c r="E379" t="str">
        <f>VLOOKUP(A379,Sheet2!A:E,5,)</f>
        <v>HENKELL TROCKEN FINEST SPARKLING WINE</v>
      </c>
      <c r="F379" t="s">
        <v>4</v>
      </c>
      <c r="G379" s="3">
        <v>1652.82</v>
      </c>
      <c r="H379" s="1">
        <v>1860</v>
      </c>
    </row>
    <row r="380" spans="1:8" x14ac:dyDescent="0.35">
      <c r="A380" s="2" t="s">
        <v>121</v>
      </c>
      <c r="B380" s="2" t="s">
        <v>367</v>
      </c>
      <c r="C380" s="3">
        <v>5177.28</v>
      </c>
      <c r="D380" s="1">
        <v>5800</v>
      </c>
      <c r="E380" t="str">
        <f>VLOOKUP(A380,Sheet2!A:E,5,)</f>
        <v>HENNESSY VS COGNAC</v>
      </c>
      <c r="F380" t="s">
        <v>4</v>
      </c>
      <c r="G380" s="3">
        <v>5177.28</v>
      </c>
      <c r="H380" s="1">
        <v>5800</v>
      </c>
    </row>
    <row r="381" spans="1:8" x14ac:dyDescent="0.35">
      <c r="A381" s="2" t="s">
        <v>122</v>
      </c>
      <c r="B381" s="2" t="s">
        <v>367</v>
      </c>
      <c r="C381" s="3">
        <v>8085.68</v>
      </c>
      <c r="D381" s="1">
        <v>9060</v>
      </c>
      <c r="E381" t="str">
        <f>VLOOKUP(A381,Sheet2!A:E,5,)</f>
        <v>HENNESSY VSOP</v>
      </c>
      <c r="F381" t="s">
        <v>4</v>
      </c>
      <c r="G381" s="3">
        <v>8085.68</v>
      </c>
      <c r="H381" s="1">
        <v>9060</v>
      </c>
    </row>
    <row r="382" spans="1:8" x14ac:dyDescent="0.35">
      <c r="A382" s="2" t="s">
        <v>123</v>
      </c>
      <c r="B382" s="2" t="s">
        <v>367</v>
      </c>
      <c r="C382" s="3">
        <v>23376.5</v>
      </c>
      <c r="D382" s="1">
        <v>26190</v>
      </c>
      <c r="E382" t="str">
        <f>VLOOKUP(A382,Sheet2!A:E,5,)</f>
        <v>HENNESSY XO</v>
      </c>
      <c r="F382" t="s">
        <v>4</v>
      </c>
      <c r="G382" s="3">
        <v>23376.5</v>
      </c>
      <c r="H382" s="1">
        <v>26190</v>
      </c>
    </row>
    <row r="383" spans="1:8" x14ac:dyDescent="0.35">
      <c r="A383" s="2" t="s">
        <v>124</v>
      </c>
      <c r="B383" s="2" t="s">
        <v>369</v>
      </c>
      <c r="C383" s="3">
        <v>824.22</v>
      </c>
      <c r="D383" s="1">
        <v>930</v>
      </c>
      <c r="E383" t="str">
        <f>VLOOKUP(A383,Sheet2!A:E,5,)</f>
        <v>HERMOSA ROSE/CHARDONNAY/MERLOT//BLANC</v>
      </c>
      <c r="F383" t="s">
        <v>4</v>
      </c>
      <c r="G383" s="3">
        <v>824.22</v>
      </c>
      <c r="H383" s="1">
        <v>930</v>
      </c>
    </row>
    <row r="384" spans="1:8" x14ac:dyDescent="0.35">
      <c r="A384" s="2" t="s">
        <v>125</v>
      </c>
      <c r="B384" s="2" t="s">
        <v>367</v>
      </c>
      <c r="C384" s="3">
        <v>9452.4500000000007</v>
      </c>
      <c r="D384" s="1">
        <v>10590</v>
      </c>
      <c r="E384" t="str">
        <f>VLOOKUP(A384,Sheet2!A:E,5,)</f>
        <v>HIBIKI JAPANESE HARMONY WHISKY</v>
      </c>
      <c r="F384" t="s">
        <v>4</v>
      </c>
      <c r="G384" s="3">
        <v>9452.4500000000007</v>
      </c>
      <c r="H384" s="1">
        <v>10590</v>
      </c>
    </row>
    <row r="385" spans="1:8" x14ac:dyDescent="0.35">
      <c r="A385" s="2" t="s">
        <v>126</v>
      </c>
      <c r="B385" s="2" t="s">
        <v>367</v>
      </c>
      <c r="C385" s="3">
        <v>4922.6099999999997</v>
      </c>
      <c r="D385" s="1">
        <v>5520</v>
      </c>
      <c r="E385" t="str">
        <f>VLOOKUP(A385,Sheet2!A:E,5,)</f>
        <v>HIGHLAND PARK SINGLE MALT 12Y</v>
      </c>
      <c r="F385" t="s">
        <v>4</v>
      </c>
      <c r="G385" s="3">
        <v>4922.6099999999997</v>
      </c>
      <c r="H385" s="1">
        <v>5520</v>
      </c>
    </row>
    <row r="386" spans="1:8" x14ac:dyDescent="0.35">
      <c r="A386" s="2" t="s">
        <v>127</v>
      </c>
      <c r="B386" s="2" t="s">
        <v>367</v>
      </c>
      <c r="C386" s="3">
        <v>7947.09</v>
      </c>
      <c r="D386" s="1">
        <v>8910</v>
      </c>
      <c r="E386" t="str">
        <f>VLOOKUP(A386,Sheet2!A:E,5,)</f>
        <v>HIGHLAND PARK SINGLE MALT 15Y</v>
      </c>
      <c r="F386" t="s">
        <v>4</v>
      </c>
      <c r="G386" s="3">
        <v>7947.09</v>
      </c>
      <c r="H386" s="1">
        <v>8910</v>
      </c>
    </row>
    <row r="387" spans="1:8" x14ac:dyDescent="0.35">
      <c r="A387" s="2" t="s">
        <v>580</v>
      </c>
      <c r="B387" s="2" t="s">
        <v>369</v>
      </c>
      <c r="C387" s="3">
        <v>23612.49</v>
      </c>
      <c r="D387" s="1">
        <v>26450</v>
      </c>
      <c r="E387" t="str">
        <f>VLOOKUP(A387,Sheet2!A:E,5,)</f>
        <v>HIGHLAND QUEEN 1561 BLEN. 30Y</v>
      </c>
      <c r="F387" t="s">
        <v>4</v>
      </c>
      <c r="G387" s="3">
        <v>23612.49</v>
      </c>
      <c r="H387" s="1">
        <v>26450</v>
      </c>
    </row>
    <row r="388" spans="1:8" x14ac:dyDescent="0.35">
      <c r="A388" s="2" t="s">
        <v>128</v>
      </c>
      <c r="B388" s="2" t="s">
        <v>367</v>
      </c>
      <c r="C388" s="3">
        <v>4241.8900000000003</v>
      </c>
      <c r="D388" s="1">
        <v>4760</v>
      </c>
      <c r="E388" t="str">
        <f>VLOOKUP(A388,Sheet2!A:E,5,)</f>
        <v>HIGHLAND QUEEN MAJESTY SINGLE MALT SCOTHCH</v>
      </c>
      <c r="F388" t="s">
        <v>4</v>
      </c>
      <c r="G388" s="3">
        <v>4241.8900000000003</v>
      </c>
      <c r="H388" s="1">
        <v>4760</v>
      </c>
    </row>
    <row r="389" spans="1:8" x14ac:dyDescent="0.35">
      <c r="A389" s="2" t="s">
        <v>129</v>
      </c>
      <c r="B389" s="2" t="s">
        <v>368</v>
      </c>
      <c r="C389" s="3">
        <v>215.67</v>
      </c>
      <c r="D389" s="1">
        <v>250</v>
      </c>
      <c r="E389" t="str">
        <f>VLOOKUP(A389,Sheet2!A:E,5,)</f>
        <v>HILLFORD PREMIUM WHISKY</v>
      </c>
      <c r="F389" t="s">
        <v>374</v>
      </c>
      <c r="G389" s="3">
        <v>215.67</v>
      </c>
      <c r="H389" s="1">
        <v>250</v>
      </c>
    </row>
    <row r="390" spans="1:8" x14ac:dyDescent="0.35">
      <c r="A390" s="2" t="s">
        <v>130</v>
      </c>
      <c r="B390" s="2" t="s">
        <v>370</v>
      </c>
      <c r="C390" s="3">
        <v>429.31</v>
      </c>
      <c r="D390" s="1">
        <v>490</v>
      </c>
      <c r="E390" t="str">
        <f>VLOOKUP(A390,Sheet2!A:E,5,)</f>
        <v>HILLFORD PREMIUM WHISKY</v>
      </c>
      <c r="F390" t="s">
        <v>5</v>
      </c>
      <c r="G390" s="3">
        <v>429.31</v>
      </c>
      <c r="H390" s="1">
        <v>490</v>
      </c>
    </row>
    <row r="391" spans="1:8" x14ac:dyDescent="0.35">
      <c r="A391" s="2" t="s">
        <v>131</v>
      </c>
      <c r="B391" s="2" t="s">
        <v>369</v>
      </c>
      <c r="C391" s="3">
        <v>828.61</v>
      </c>
      <c r="D391" s="1">
        <v>930</v>
      </c>
      <c r="E391" t="str">
        <f>VLOOKUP(A391,Sheet2!A:E,5,)</f>
        <v>HILLFORD PREMIUM WHISKY</v>
      </c>
      <c r="F391" t="s">
        <v>4</v>
      </c>
      <c r="G391" s="3">
        <v>828.61</v>
      </c>
      <c r="H391" s="1">
        <v>930</v>
      </c>
    </row>
    <row r="392" spans="1:8" x14ac:dyDescent="0.35">
      <c r="A392" s="2" t="s">
        <v>132</v>
      </c>
      <c r="B392" s="2" t="s">
        <v>368</v>
      </c>
      <c r="C392" s="3">
        <v>139.22999999999999</v>
      </c>
      <c r="D392" s="1">
        <v>160</v>
      </c>
      <c r="E392" t="str">
        <f>VLOOKUP(A392,Sheet2!A:E,5,)</f>
        <v>I BLUE PREMIER GRAIN WHISKY</v>
      </c>
      <c r="F392" t="s">
        <v>374</v>
      </c>
      <c r="G392" s="3">
        <v>139.22999999999999</v>
      </c>
      <c r="H392" s="1">
        <v>160</v>
      </c>
    </row>
    <row r="393" spans="1:8" x14ac:dyDescent="0.35">
      <c r="A393" s="2" t="s">
        <v>581</v>
      </c>
      <c r="B393" s="2" t="s">
        <v>370</v>
      </c>
      <c r="C393" s="3">
        <v>277.29000000000002</v>
      </c>
      <c r="D393" s="1">
        <v>320</v>
      </c>
      <c r="E393" t="str">
        <f>VLOOKUP(A393,Sheet2!A:E,5,)</f>
        <v>I BLUE PREMIER GRAIN WHISKY</v>
      </c>
      <c r="F393" t="s">
        <v>5</v>
      </c>
      <c r="G393" s="3">
        <v>277.29000000000002</v>
      </c>
      <c r="H393" s="1">
        <v>320</v>
      </c>
    </row>
    <row r="394" spans="1:8" x14ac:dyDescent="0.35">
      <c r="A394" s="2" t="s">
        <v>581</v>
      </c>
      <c r="B394" s="2" t="s">
        <v>369</v>
      </c>
      <c r="C394" s="3">
        <v>534.41999999999996</v>
      </c>
      <c r="D394" s="1">
        <v>600</v>
      </c>
      <c r="E394" t="str">
        <f>VLOOKUP(A394,Sheet2!A:E,5,)</f>
        <v>I BLUE PREMIER GRAIN WHISKY</v>
      </c>
      <c r="F394" t="s">
        <v>4</v>
      </c>
      <c r="G394" s="3">
        <v>534.41999999999996</v>
      </c>
      <c r="H394" s="1">
        <v>600</v>
      </c>
    </row>
    <row r="395" spans="1:8" x14ac:dyDescent="0.35">
      <c r="A395" s="2" t="s">
        <v>582</v>
      </c>
      <c r="B395" s="2" t="s">
        <v>368</v>
      </c>
      <c r="C395" s="3">
        <v>129.94999999999999</v>
      </c>
      <c r="D395" s="1">
        <v>150</v>
      </c>
      <c r="E395" t="str">
        <f>VLOOKUP(A395,Sheet2!A:E,5,)</f>
        <v>ICONIQ WHITE DELUXE WHISKY</v>
      </c>
      <c r="F395" t="s">
        <v>374</v>
      </c>
      <c r="G395" s="3">
        <v>129.94999999999999</v>
      </c>
      <c r="H395" s="1">
        <v>150</v>
      </c>
    </row>
    <row r="396" spans="1:8" x14ac:dyDescent="0.35">
      <c r="A396" s="2" t="s">
        <v>582</v>
      </c>
      <c r="B396" s="2" t="s">
        <v>370</v>
      </c>
      <c r="C396" s="3">
        <v>268.17</v>
      </c>
      <c r="D396" s="1">
        <v>310</v>
      </c>
      <c r="E396" t="str">
        <f>VLOOKUP(A396,Sheet2!A:E,5,)</f>
        <v>ICONIQ WHITE DELUXE WHISKY</v>
      </c>
      <c r="F396" t="s">
        <v>5</v>
      </c>
      <c r="G396" s="3">
        <v>268.17</v>
      </c>
      <c r="H396" s="1">
        <v>310</v>
      </c>
    </row>
    <row r="397" spans="1:8" x14ac:dyDescent="0.35">
      <c r="A397" s="2" t="s">
        <v>582</v>
      </c>
      <c r="B397" s="2" t="s">
        <v>369</v>
      </c>
      <c r="C397" s="3">
        <v>516.37</v>
      </c>
      <c r="D397" s="1">
        <v>580</v>
      </c>
      <c r="E397" t="str">
        <f>VLOOKUP(A397,Sheet2!A:E,5,)</f>
        <v>ICONIQ WHITE DELUXE WHISKY</v>
      </c>
      <c r="F397" t="s">
        <v>4</v>
      </c>
      <c r="G397" s="3">
        <v>516.37</v>
      </c>
      <c r="H397" s="1">
        <v>580</v>
      </c>
    </row>
    <row r="398" spans="1:8" x14ac:dyDescent="0.35">
      <c r="A398" s="2" t="s">
        <v>583</v>
      </c>
      <c r="B398" s="2" t="s">
        <v>372</v>
      </c>
      <c r="C398" s="3">
        <v>139.66</v>
      </c>
      <c r="D398" s="1">
        <v>160</v>
      </c>
      <c r="E398" t="str">
        <f>VLOOKUP(A398,Sheet2!A:E,5,)</f>
        <v>ICONIQ WINTER</v>
      </c>
      <c r="F398" t="s">
        <v>374</v>
      </c>
      <c r="G398" s="3">
        <v>139.66</v>
      </c>
      <c r="H398" s="1">
        <v>160</v>
      </c>
    </row>
    <row r="399" spans="1:8" x14ac:dyDescent="0.35">
      <c r="A399" s="2" t="s">
        <v>584</v>
      </c>
      <c r="B399" s="2" t="s">
        <v>369</v>
      </c>
      <c r="C399" s="3">
        <v>535.24</v>
      </c>
      <c r="D399" s="1">
        <v>600</v>
      </c>
      <c r="E399" t="str">
        <f>VLOOKUP(A399,Sheet2!A:E,5,)</f>
        <v>ICONIQ WINTER</v>
      </c>
      <c r="F399" t="s">
        <v>4</v>
      </c>
      <c r="G399" s="3">
        <v>535.24</v>
      </c>
      <c r="H399" s="1">
        <v>600</v>
      </c>
    </row>
    <row r="400" spans="1:8" x14ac:dyDescent="0.35">
      <c r="A400" s="2" t="s">
        <v>585</v>
      </c>
      <c r="B400" s="2" t="s">
        <v>368</v>
      </c>
      <c r="C400" s="3">
        <v>102.71</v>
      </c>
      <c r="D400" s="1">
        <v>120</v>
      </c>
      <c r="E400" t="str">
        <f>VLOOKUP(A400,Sheet2!A:E,5,)</f>
        <v>IGL BUNTY</v>
      </c>
      <c r="F400" t="s">
        <v>374</v>
      </c>
      <c r="G400" s="3">
        <v>102.71</v>
      </c>
      <c r="H400" s="1">
        <v>120</v>
      </c>
    </row>
    <row r="401" spans="1:8" x14ac:dyDescent="0.35">
      <c r="A401" s="2" t="s">
        <v>586</v>
      </c>
      <c r="B401" s="2" t="s">
        <v>369</v>
      </c>
      <c r="C401" s="3">
        <v>1531.73</v>
      </c>
      <c r="D401" s="1">
        <v>1720</v>
      </c>
      <c r="E401" t="str">
        <f>VLOOKUP(A401,Sheet2!A:E,5,)</f>
        <v>I HEART PINOT NOIR</v>
      </c>
      <c r="F401" t="s">
        <v>4</v>
      </c>
      <c r="G401" s="3">
        <v>1531.73</v>
      </c>
      <c r="H401" s="1">
        <v>1720</v>
      </c>
    </row>
    <row r="402" spans="1:8" x14ac:dyDescent="0.35">
      <c r="A402" s="2" t="s">
        <v>587</v>
      </c>
      <c r="B402" s="2" t="s">
        <v>369</v>
      </c>
      <c r="C402" s="3">
        <v>8198.76</v>
      </c>
      <c r="D402" s="1">
        <v>9190</v>
      </c>
      <c r="E402" t="str">
        <f>VLOOKUP(A402,Sheet2!A:E,5,)</f>
        <v>INDRI MALT WHISKY HOUSE OF BLACK/GRE</v>
      </c>
      <c r="F402" t="s">
        <v>4</v>
      </c>
      <c r="G402" s="3">
        <v>8198.76</v>
      </c>
      <c r="H402" s="1">
        <v>9190</v>
      </c>
    </row>
    <row r="403" spans="1:8" x14ac:dyDescent="0.35">
      <c r="A403" s="2" t="s">
        <v>133</v>
      </c>
      <c r="B403" s="2" t="s">
        <v>369</v>
      </c>
      <c r="C403" s="3">
        <v>5070.01</v>
      </c>
      <c r="D403" s="1">
        <v>5680</v>
      </c>
      <c r="E403" t="str">
        <f>VLOOKUP(A403,Sheet2!A:E,5,)</f>
        <v>INDRI SINGLE MALT INDIAN WHISKY AGNEYA</v>
      </c>
      <c r="F403" t="s">
        <v>4</v>
      </c>
      <c r="G403" s="3">
        <v>5070.01</v>
      </c>
      <c r="H403" s="1">
        <v>5680</v>
      </c>
    </row>
    <row r="404" spans="1:8" x14ac:dyDescent="0.35">
      <c r="A404" s="2" t="s">
        <v>134</v>
      </c>
      <c r="B404" s="2" t="s">
        <v>369</v>
      </c>
      <c r="C404" s="3">
        <v>3971.19</v>
      </c>
      <c r="D404" s="1">
        <v>4450</v>
      </c>
      <c r="E404" t="str">
        <f>VLOOKUP(A404,Sheet2!A:E,5,)</f>
        <v>INDRI SINGLEMALT WHISKY</v>
      </c>
      <c r="F404" t="s">
        <v>4</v>
      </c>
      <c r="G404" s="3">
        <v>3971.19</v>
      </c>
      <c r="H404" s="1">
        <v>4450</v>
      </c>
    </row>
    <row r="405" spans="1:8" x14ac:dyDescent="0.35">
      <c r="A405" s="2" t="s">
        <v>135</v>
      </c>
      <c r="B405" s="2" t="s">
        <v>371</v>
      </c>
      <c r="C405" s="3">
        <v>342.56</v>
      </c>
      <c r="D405" s="1">
        <v>390</v>
      </c>
      <c r="E405" t="str">
        <f>VLOOKUP(A405,Sheet2!A:E,5,)</f>
        <v>INDRI SINGLEMALT WHISKY</v>
      </c>
      <c r="F405" t="s">
        <v>376</v>
      </c>
      <c r="G405" s="3">
        <v>342.56</v>
      </c>
      <c r="H405" s="1">
        <v>390</v>
      </c>
    </row>
    <row r="406" spans="1:8" x14ac:dyDescent="0.35">
      <c r="A406" s="2" t="s">
        <v>588</v>
      </c>
      <c r="B406" s="2" t="s">
        <v>368</v>
      </c>
      <c r="C406" s="3">
        <v>129.94999999999999</v>
      </c>
      <c r="D406" s="1">
        <v>150</v>
      </c>
      <c r="E406" t="str">
        <f>VLOOKUP(A406,Sheet2!A:E,5,)</f>
        <v>INNATE RESERVE 9 BARREL WHISKY</v>
      </c>
      <c r="F406" t="s">
        <v>374</v>
      </c>
      <c r="G406" s="3">
        <v>129.94999999999999</v>
      </c>
      <c r="H406" s="1">
        <v>150</v>
      </c>
    </row>
    <row r="407" spans="1:8" x14ac:dyDescent="0.35">
      <c r="A407" s="2" t="s">
        <v>589</v>
      </c>
      <c r="B407" s="2" t="s">
        <v>369</v>
      </c>
      <c r="C407" s="3">
        <v>1213.28</v>
      </c>
      <c r="D407" s="1">
        <v>1360</v>
      </c>
      <c r="E407" t="str">
        <f>VLOOKUP(A407,Sheet2!A:E,5,)</f>
        <v>IQ LONDON DRY</v>
      </c>
      <c r="F407" t="s">
        <v>4</v>
      </c>
      <c r="G407" s="3">
        <v>1213.28</v>
      </c>
      <c r="H407" s="1">
        <v>1360</v>
      </c>
    </row>
    <row r="408" spans="1:8" x14ac:dyDescent="0.35">
      <c r="A408" s="2" t="s">
        <v>590</v>
      </c>
      <c r="B408" s="2" t="s">
        <v>368</v>
      </c>
      <c r="C408" s="3">
        <v>301.99</v>
      </c>
      <c r="D408" s="1">
        <v>340</v>
      </c>
      <c r="E408" t="str">
        <f>VLOOKUP(A408,Sheet2!A:E,5,)</f>
        <v>I.Q. LONDON DRY GIN</v>
      </c>
      <c r="F408" t="s">
        <v>374</v>
      </c>
      <c r="G408" s="3">
        <v>301.99</v>
      </c>
      <c r="H408" s="1">
        <v>340</v>
      </c>
    </row>
    <row r="409" spans="1:8" x14ac:dyDescent="0.35">
      <c r="A409" s="2" t="s">
        <v>136</v>
      </c>
      <c r="B409" s="2" t="s">
        <v>367</v>
      </c>
      <c r="C409" s="3">
        <v>8681.1</v>
      </c>
      <c r="D409" s="1">
        <v>9730</v>
      </c>
      <c r="E409" t="str">
        <f>VLOOKUP(A409,Sheet2!A:E,5,)</f>
        <v>IRISHMAN SINGHAL MALT 700</v>
      </c>
      <c r="F409" t="s">
        <v>4</v>
      </c>
      <c r="G409" s="3">
        <v>8681.1</v>
      </c>
      <c r="H409" s="1">
        <v>9730</v>
      </c>
    </row>
    <row r="410" spans="1:8" x14ac:dyDescent="0.35">
      <c r="A410" s="2" t="s">
        <v>137</v>
      </c>
      <c r="B410" s="2" t="s">
        <v>367</v>
      </c>
      <c r="C410" s="3">
        <v>7363.17</v>
      </c>
      <c r="D410" s="1">
        <v>8250</v>
      </c>
      <c r="E410" t="str">
        <f>VLOOKUP(A410,Sheet2!A:E,5,)</f>
        <v>IRISHMAN THE HARVEST IRISH WHISKY</v>
      </c>
      <c r="F410" t="s">
        <v>4</v>
      </c>
      <c r="G410" s="3">
        <v>7363.17</v>
      </c>
      <c r="H410" s="1">
        <v>8250</v>
      </c>
    </row>
    <row r="411" spans="1:8" x14ac:dyDescent="0.35">
      <c r="A411" s="2" t="s">
        <v>591</v>
      </c>
      <c r="B411" s="2" t="s">
        <v>369</v>
      </c>
      <c r="C411" s="3">
        <v>3717.32</v>
      </c>
      <c r="D411" s="1">
        <v>4170</v>
      </c>
      <c r="E411" t="str">
        <f>VLOOKUP(A411,Sheet2!A:E,5,)</f>
        <v>J'NOON INDIA RED WINE</v>
      </c>
      <c r="F411" t="s">
        <v>4</v>
      </c>
      <c r="G411" s="3">
        <v>3717.32</v>
      </c>
      <c r="H411" s="1">
        <v>4170</v>
      </c>
    </row>
    <row r="412" spans="1:8" x14ac:dyDescent="0.35">
      <c r="A412" s="2" t="s">
        <v>592</v>
      </c>
      <c r="B412" s="2" t="s">
        <v>370</v>
      </c>
      <c r="C412" s="3">
        <v>1645.78</v>
      </c>
      <c r="D412" s="1">
        <v>1850</v>
      </c>
      <c r="E412" t="str">
        <f>VLOOKUP(A412,Sheet2!A:E,5,)</f>
        <v>JACK DANIEL'S TENNESSEE HONEY SMOOTH</v>
      </c>
      <c r="F412" t="s">
        <v>5</v>
      </c>
      <c r="G412" s="3">
        <v>1645.78</v>
      </c>
      <c r="H412" s="1">
        <v>1850</v>
      </c>
    </row>
    <row r="413" spans="1:8" x14ac:dyDescent="0.35">
      <c r="A413" s="2" t="s">
        <v>593</v>
      </c>
      <c r="B413" s="2" t="s">
        <v>369</v>
      </c>
      <c r="C413" s="3">
        <v>2935.11</v>
      </c>
      <c r="D413" s="1">
        <v>3290</v>
      </c>
      <c r="E413" t="str">
        <f>VLOOKUP(A413,Sheet2!A:E,5,)</f>
        <v>JACK DANIEL'S TENNESSEE HONEY SMOOTH</v>
      </c>
      <c r="F413" t="s">
        <v>4</v>
      </c>
      <c r="G413" s="3">
        <v>2935.11</v>
      </c>
      <c r="H413" s="1">
        <v>3290</v>
      </c>
    </row>
    <row r="414" spans="1:8" x14ac:dyDescent="0.35">
      <c r="A414" s="2" t="s">
        <v>138</v>
      </c>
      <c r="B414" s="2" t="s">
        <v>372</v>
      </c>
      <c r="C414" s="3">
        <v>264.12</v>
      </c>
      <c r="D414" s="1">
        <v>300</v>
      </c>
      <c r="E414" t="str">
        <f>VLOOKUP(A414,Sheet2!A:E,5,)</f>
        <v>JACK DANIEL HONEY/FIRE</v>
      </c>
      <c r="F414" t="s">
        <v>374</v>
      </c>
      <c r="G414" s="3">
        <v>264.12</v>
      </c>
      <c r="H414" s="1">
        <v>300</v>
      </c>
    </row>
    <row r="415" spans="1:8" x14ac:dyDescent="0.35">
      <c r="A415" s="2" t="s">
        <v>139</v>
      </c>
      <c r="B415" s="2" t="s">
        <v>369</v>
      </c>
      <c r="C415" s="3">
        <v>2563.5300000000002</v>
      </c>
      <c r="D415" s="1">
        <v>2880</v>
      </c>
      <c r="E415" t="str">
        <f>VLOOKUP(A415,Sheet2!A:E,5,)</f>
        <v>JACK DANIEL HONEY/FIRE</v>
      </c>
      <c r="F415" t="s">
        <v>4</v>
      </c>
      <c r="G415" s="3">
        <v>2563.5300000000002</v>
      </c>
      <c r="H415" s="1">
        <v>2880</v>
      </c>
    </row>
    <row r="416" spans="1:8" x14ac:dyDescent="0.35">
      <c r="A416" s="2" t="s">
        <v>140</v>
      </c>
      <c r="B416" s="2" t="s">
        <v>369</v>
      </c>
      <c r="C416" s="3">
        <v>2581.36</v>
      </c>
      <c r="D416" s="1">
        <v>2900</v>
      </c>
      <c r="E416" t="str">
        <f>VLOOKUP(A416,Sheet2!A:E,5,)</f>
        <v>JACK DANIEL OLD7</v>
      </c>
      <c r="F416" t="s">
        <v>4</v>
      </c>
      <c r="G416" s="3">
        <v>2581.36</v>
      </c>
      <c r="H416" s="1">
        <v>2900</v>
      </c>
    </row>
    <row r="417" spans="1:8" x14ac:dyDescent="0.35">
      <c r="A417" s="2" t="s">
        <v>141</v>
      </c>
      <c r="B417" s="2" t="s">
        <v>372</v>
      </c>
      <c r="C417" s="3">
        <v>266.02</v>
      </c>
      <c r="D417" s="1">
        <v>300</v>
      </c>
      <c r="E417" t="str">
        <f>VLOOKUP(A417,Sheet2!A:E,5,)</f>
        <v>JACK DANIEL OLD7/HONEY/FIRE</v>
      </c>
      <c r="F417" t="s">
        <v>374</v>
      </c>
      <c r="G417" s="3">
        <v>266.02</v>
      </c>
      <c r="H417" s="1">
        <v>300</v>
      </c>
    </row>
    <row r="418" spans="1:8" x14ac:dyDescent="0.35">
      <c r="A418" s="2" t="s">
        <v>594</v>
      </c>
      <c r="B418" s="2" t="s">
        <v>369</v>
      </c>
      <c r="C418" s="3">
        <v>3877.93</v>
      </c>
      <c r="D418" s="1">
        <v>4350</v>
      </c>
      <c r="E418" t="str">
        <f>VLOOKUP(A418,Sheet2!A:E,5,)</f>
        <v>JACK DANIEL QUALITY</v>
      </c>
      <c r="F418" t="s">
        <v>4</v>
      </c>
      <c r="G418" s="3">
        <v>3877.93</v>
      </c>
      <c r="H418" s="1">
        <v>4350</v>
      </c>
    </row>
    <row r="419" spans="1:8" x14ac:dyDescent="0.35">
      <c r="A419" s="2" t="s">
        <v>595</v>
      </c>
      <c r="B419" s="2" t="s">
        <v>368</v>
      </c>
      <c r="C419" s="3">
        <v>894.48</v>
      </c>
      <c r="D419" s="1">
        <v>1010</v>
      </c>
      <c r="E419" t="str">
        <f>VLOOKUP(A419,Sheet2!A:E,5,)</f>
        <v>JACK DANIEL QUALITY</v>
      </c>
      <c r="F419" t="s">
        <v>374</v>
      </c>
      <c r="G419" s="3">
        <v>894.48</v>
      </c>
      <c r="H419" s="1">
        <v>1010</v>
      </c>
    </row>
    <row r="420" spans="1:8" x14ac:dyDescent="0.35">
      <c r="A420" s="2" t="s">
        <v>596</v>
      </c>
      <c r="B420" s="2" t="s">
        <v>370</v>
      </c>
      <c r="C420" s="3">
        <v>1647.45</v>
      </c>
      <c r="D420" s="1">
        <v>1850</v>
      </c>
      <c r="E420" t="str">
        <f>VLOOKUP(A420,Sheet2!A:E,5,)</f>
        <v>JACK DANIEL QUALITY</v>
      </c>
      <c r="F420" t="s">
        <v>5</v>
      </c>
      <c r="G420" s="3">
        <v>1647.45</v>
      </c>
      <c r="H420" s="1">
        <v>1850</v>
      </c>
    </row>
    <row r="421" spans="1:8" x14ac:dyDescent="0.35">
      <c r="A421" s="2" t="s">
        <v>142</v>
      </c>
      <c r="B421" s="2" t="s">
        <v>369</v>
      </c>
      <c r="C421" s="3">
        <v>5981.55</v>
      </c>
      <c r="D421" s="1">
        <v>6700</v>
      </c>
      <c r="E421" t="str">
        <f>VLOOKUP(A421,Sheet2!A:E,5,)</f>
        <v>JACK DANIELS SINGLE BARREL SELECT</v>
      </c>
      <c r="F421" t="s">
        <v>4</v>
      </c>
      <c r="G421" s="3">
        <v>5981.55</v>
      </c>
      <c r="H421" s="1">
        <v>6700</v>
      </c>
    </row>
    <row r="422" spans="1:8" x14ac:dyDescent="0.35">
      <c r="A422" s="2" t="s">
        <v>143</v>
      </c>
      <c r="B422" s="2" t="s">
        <v>369</v>
      </c>
      <c r="C422" s="3">
        <v>2535.6</v>
      </c>
      <c r="D422" s="1">
        <v>2840</v>
      </c>
      <c r="E422" t="str">
        <f>VLOOKUP(A422,Sheet2!A:E,5,)</f>
        <v>JACK DANIEL TANNESSEE APPLE</v>
      </c>
      <c r="F422" t="s">
        <v>4</v>
      </c>
      <c r="G422" s="3">
        <v>2535.6</v>
      </c>
      <c r="H422" s="1">
        <v>2840</v>
      </c>
    </row>
    <row r="423" spans="1:8" x14ac:dyDescent="0.35">
      <c r="A423" s="2" t="s">
        <v>144</v>
      </c>
      <c r="B423" s="2" t="s">
        <v>369</v>
      </c>
      <c r="C423" s="3">
        <v>1246.42</v>
      </c>
      <c r="D423" s="1">
        <v>1400</v>
      </c>
      <c r="E423" t="str">
        <f>VLOOKUP(A423,Sheet2!A:E,5,)</f>
        <v>JACOB'S CREEK CHARDONNAY WINE</v>
      </c>
      <c r="F423" t="s">
        <v>4</v>
      </c>
      <c r="G423" s="3">
        <v>1246.42</v>
      </c>
      <c r="H423" s="1">
        <v>1400</v>
      </c>
    </row>
    <row r="424" spans="1:8" x14ac:dyDescent="0.35">
      <c r="A424" s="2" t="s">
        <v>145</v>
      </c>
      <c r="B424" s="2" t="s">
        <v>369</v>
      </c>
      <c r="C424" s="3">
        <v>1508.64</v>
      </c>
      <c r="D424" s="1">
        <v>1690</v>
      </c>
      <c r="E424" t="str">
        <f>VLOOKUP(A424,Sheet2!A:E,5,)</f>
        <v>JACOB'S CREEK SHIRAZ CARBENET</v>
      </c>
      <c r="F424" t="s">
        <v>4</v>
      </c>
      <c r="G424" s="3">
        <v>1508.64</v>
      </c>
      <c r="H424" s="1">
        <v>1690</v>
      </c>
    </row>
    <row r="425" spans="1:8" x14ac:dyDescent="0.35">
      <c r="A425" s="2" t="s">
        <v>597</v>
      </c>
      <c r="B425" s="2" t="s">
        <v>369</v>
      </c>
      <c r="C425" s="3">
        <v>1924.9</v>
      </c>
      <c r="D425" s="1">
        <v>2160</v>
      </c>
      <c r="E425" t="str">
        <f>VLOOKUP(A425,Sheet2!A:E,5,)</f>
        <v>JACOBS CREEK CHARDO. PIN NOIR</v>
      </c>
      <c r="F425" t="s">
        <v>4</v>
      </c>
      <c r="G425" s="3">
        <v>1924.9</v>
      </c>
      <c r="H425" s="1">
        <v>2160</v>
      </c>
    </row>
    <row r="426" spans="1:8" x14ac:dyDescent="0.35">
      <c r="A426" s="2" t="s">
        <v>598</v>
      </c>
      <c r="B426" s="2" t="s">
        <v>369</v>
      </c>
      <c r="C426" s="3">
        <v>1511.52</v>
      </c>
      <c r="D426" s="1">
        <v>1700</v>
      </c>
      <c r="E426" t="str">
        <f>VLOOKUP(A426,Sheet2!A:E,5,)</f>
        <v>JACOB`S CREEK CLASSIC MERLOT</v>
      </c>
      <c r="F426" t="s">
        <v>4</v>
      </c>
      <c r="G426" s="3">
        <v>1511.52</v>
      </c>
      <c r="H426" s="1">
        <v>1700</v>
      </c>
    </row>
    <row r="427" spans="1:8" x14ac:dyDescent="0.35">
      <c r="A427" s="2" t="s">
        <v>599</v>
      </c>
      <c r="B427" s="2" t="s">
        <v>370</v>
      </c>
      <c r="C427" s="3">
        <v>1547.18</v>
      </c>
      <c r="D427" s="1">
        <v>1740</v>
      </c>
      <c r="E427" t="str">
        <f>VLOOKUP(A427,Sheet2!A:E,5,)</f>
        <v>JAGERMEISTER</v>
      </c>
      <c r="F427" t="s">
        <v>5</v>
      </c>
      <c r="G427" s="3">
        <v>1547.18</v>
      </c>
      <c r="H427" s="1">
        <v>1740</v>
      </c>
    </row>
    <row r="428" spans="1:8" x14ac:dyDescent="0.35">
      <c r="A428" s="2" t="s">
        <v>600</v>
      </c>
      <c r="B428" s="2" t="s">
        <v>372</v>
      </c>
      <c r="C428" s="3">
        <v>350.13</v>
      </c>
      <c r="D428" s="1">
        <v>400</v>
      </c>
      <c r="E428" t="str">
        <f>VLOOKUP(A428,Sheet2!A:E,5,)</f>
        <v>JAGERMEISTER</v>
      </c>
      <c r="F428" t="s">
        <v>374</v>
      </c>
      <c r="G428" s="3">
        <v>350.13</v>
      </c>
      <c r="H428" s="1">
        <v>400</v>
      </c>
    </row>
    <row r="429" spans="1:8" x14ac:dyDescent="0.35">
      <c r="A429" s="2" t="s">
        <v>146</v>
      </c>
      <c r="B429" s="2" t="s">
        <v>369</v>
      </c>
      <c r="C429" s="3">
        <v>2825.06</v>
      </c>
      <c r="D429" s="1">
        <v>3170</v>
      </c>
      <c r="E429" t="str">
        <f>VLOOKUP(A429,Sheet2!A:E,5,)</f>
        <v>JAGERMEISTER</v>
      </c>
      <c r="F429" t="s">
        <v>4</v>
      </c>
      <c r="G429" s="3">
        <v>2825.06</v>
      </c>
      <c r="H429" s="1">
        <v>3170</v>
      </c>
    </row>
    <row r="430" spans="1:8" x14ac:dyDescent="0.35">
      <c r="A430" s="2" t="s">
        <v>601</v>
      </c>
      <c r="B430" s="2" t="s">
        <v>369</v>
      </c>
      <c r="C430" s="3">
        <v>2823.6</v>
      </c>
      <c r="D430" s="1">
        <v>3170</v>
      </c>
      <c r="E430" t="str">
        <f>VLOOKUP(A430,Sheet2!A:E,5,)</f>
        <v>JAGERMESTER LIMITE EDIT LIQUOR FLAVOUR</v>
      </c>
      <c r="F430" t="s">
        <v>4</v>
      </c>
      <c r="G430" s="3">
        <v>2823.6</v>
      </c>
      <c r="H430" s="1">
        <v>3170</v>
      </c>
    </row>
    <row r="431" spans="1:8" x14ac:dyDescent="0.35">
      <c r="A431" s="2" t="s">
        <v>602</v>
      </c>
      <c r="B431" s="2" t="s">
        <v>369</v>
      </c>
      <c r="C431" s="3">
        <v>3071.16</v>
      </c>
      <c r="D431" s="1">
        <v>3440</v>
      </c>
      <c r="E431" t="str">
        <f>VLOOKUP(A431,Sheet2!A:E,5,)</f>
        <v>JAGERMIESTER RETRO</v>
      </c>
      <c r="F431" t="s">
        <v>4</v>
      </c>
      <c r="G431" s="3">
        <v>3071.16</v>
      </c>
      <c r="H431" s="1">
        <v>3440</v>
      </c>
    </row>
    <row r="432" spans="1:8" x14ac:dyDescent="0.35">
      <c r="A432" s="2" t="s">
        <v>147</v>
      </c>
      <c r="B432" s="2" t="s">
        <v>370</v>
      </c>
      <c r="C432" s="3">
        <v>3809.42</v>
      </c>
      <c r="D432" s="1">
        <v>4270</v>
      </c>
      <c r="E432" t="str">
        <f>VLOOKUP(A432,Sheet2!A:E,5,)</f>
        <v>JAISALMARE GIN GOLD</v>
      </c>
      <c r="F432" t="s">
        <v>5</v>
      </c>
      <c r="G432" s="3">
        <v>3809.42</v>
      </c>
      <c r="H432" s="1">
        <v>4270</v>
      </c>
    </row>
    <row r="433" spans="1:8" x14ac:dyDescent="0.35">
      <c r="A433" s="2" t="s">
        <v>148</v>
      </c>
      <c r="B433" s="2" t="s">
        <v>369</v>
      </c>
      <c r="C433" s="3">
        <v>3787.7</v>
      </c>
      <c r="D433" s="1">
        <v>4250</v>
      </c>
      <c r="E433" t="str">
        <f>VLOOKUP(A433,Sheet2!A:E,5,)</f>
        <v>JAISALMER INDIAN CRAFT</v>
      </c>
      <c r="F433" t="s">
        <v>4</v>
      </c>
      <c r="G433" s="3">
        <v>3787.7</v>
      </c>
      <c r="H433" s="1">
        <v>4250</v>
      </c>
    </row>
    <row r="434" spans="1:8" x14ac:dyDescent="0.35">
      <c r="A434" s="2" t="s">
        <v>149</v>
      </c>
      <c r="B434" s="2" t="s">
        <v>369</v>
      </c>
      <c r="C434" s="3">
        <v>2848.82</v>
      </c>
      <c r="D434" s="1">
        <v>3200</v>
      </c>
      <c r="E434" t="str">
        <f>VLOOKUP(A434,Sheet2!A:E,5,)</f>
        <v>JAMESON BLACK BARREL WHISKY</v>
      </c>
      <c r="F434" t="s">
        <v>4</v>
      </c>
      <c r="G434" s="3">
        <v>2848.82</v>
      </c>
      <c r="H434" s="1">
        <v>3200</v>
      </c>
    </row>
    <row r="435" spans="1:8" x14ac:dyDescent="0.35">
      <c r="A435" s="2" t="s">
        <v>603</v>
      </c>
      <c r="B435" s="2" t="s">
        <v>369</v>
      </c>
      <c r="C435" s="3">
        <v>2394.64</v>
      </c>
      <c r="D435" s="1">
        <v>2690</v>
      </c>
      <c r="E435" t="str">
        <f>VLOOKUP(A435,Sheet2!A:E,5,)</f>
        <v>JAMESON IRISH CASKMATES WHISKY</v>
      </c>
      <c r="F435" t="s">
        <v>4</v>
      </c>
      <c r="G435" s="3">
        <v>2394.64</v>
      </c>
      <c r="H435" s="1">
        <v>2690</v>
      </c>
    </row>
    <row r="436" spans="1:8" x14ac:dyDescent="0.35">
      <c r="A436" s="2" t="s">
        <v>150</v>
      </c>
      <c r="B436" s="2" t="s">
        <v>368</v>
      </c>
      <c r="C436" s="3">
        <v>569.97</v>
      </c>
      <c r="D436" s="1">
        <v>640</v>
      </c>
      <c r="E436" t="str">
        <f>VLOOKUP(A436,Sheet2!A:E,5,)</f>
        <v>JAMESON IRISH WHISKY</v>
      </c>
      <c r="F436" t="s">
        <v>374</v>
      </c>
      <c r="G436" s="3">
        <v>569.97</v>
      </c>
      <c r="H436" s="1">
        <v>640</v>
      </c>
    </row>
    <row r="437" spans="1:8" x14ac:dyDescent="0.35">
      <c r="A437" s="2" t="s">
        <v>151</v>
      </c>
      <c r="B437" s="2" t="s">
        <v>369</v>
      </c>
      <c r="C437" s="3">
        <v>2106.67</v>
      </c>
      <c r="D437" s="1">
        <v>2360</v>
      </c>
      <c r="E437" t="str">
        <f>VLOOKUP(A437,Sheet2!A:E,5,)</f>
        <v>JAMESON IRISH WHISKY</v>
      </c>
      <c r="F437" t="s">
        <v>4</v>
      </c>
      <c r="G437" s="3">
        <v>2106.67</v>
      </c>
      <c r="H437" s="1">
        <v>2360</v>
      </c>
    </row>
    <row r="438" spans="1:8" x14ac:dyDescent="0.35">
      <c r="A438" s="2" t="s">
        <v>152</v>
      </c>
      <c r="B438" s="2" t="s">
        <v>368</v>
      </c>
      <c r="C438" s="3">
        <v>823.21</v>
      </c>
      <c r="D438" s="1">
        <v>930</v>
      </c>
      <c r="E438" t="str">
        <f>VLOOKUP(A438,Sheet2!A:E,5,)</f>
        <v>JAMUN HIMALAYAN GIN</v>
      </c>
      <c r="F438" t="s">
        <v>374</v>
      </c>
      <c r="G438" s="3">
        <v>823.21</v>
      </c>
      <c r="H438" s="1">
        <v>930</v>
      </c>
    </row>
    <row r="439" spans="1:8" x14ac:dyDescent="0.35">
      <c r="A439" s="2" t="s">
        <v>153</v>
      </c>
      <c r="B439" s="2" t="s">
        <v>369</v>
      </c>
      <c r="C439" s="3">
        <v>3365.01</v>
      </c>
      <c r="D439" s="1">
        <v>3770</v>
      </c>
      <c r="E439" t="str">
        <f>VLOOKUP(A439,Sheet2!A:E,5,)</f>
        <v>JAMUN HIMALAYAN GIN</v>
      </c>
      <c r="F439" t="s">
        <v>4</v>
      </c>
      <c r="G439" s="3">
        <v>3365.01</v>
      </c>
      <c r="H439" s="1">
        <v>3770</v>
      </c>
    </row>
    <row r="440" spans="1:8" x14ac:dyDescent="0.35">
      <c r="A440" s="2" t="s">
        <v>154</v>
      </c>
      <c r="B440" s="2" t="s">
        <v>369</v>
      </c>
      <c r="C440" s="3">
        <v>1704.91</v>
      </c>
      <c r="D440" s="1">
        <v>1910</v>
      </c>
      <c r="E440" t="str">
        <f>VLOOKUP(A440,Sheet2!A:E,5,)</f>
        <v>J &amp; B RARE</v>
      </c>
      <c r="F440" t="s">
        <v>4</v>
      </c>
      <c r="G440" s="3">
        <v>1704.91</v>
      </c>
      <c r="H440" s="1">
        <v>1910</v>
      </c>
    </row>
    <row r="441" spans="1:8" x14ac:dyDescent="0.35">
      <c r="A441" s="2" t="s">
        <v>604</v>
      </c>
      <c r="B441" s="2" t="s">
        <v>370</v>
      </c>
      <c r="C441" s="3">
        <v>1434.45</v>
      </c>
      <c r="D441" s="1">
        <v>1610</v>
      </c>
      <c r="E441" t="str">
        <f>VLOOKUP(A441,Sheet2!A:E,5,)</f>
        <v>JD OLD NO 7 TENNESSEE SOUR MARSH</v>
      </c>
      <c r="F441" t="s">
        <v>5</v>
      </c>
      <c r="G441" s="3">
        <v>1434.45</v>
      </c>
      <c r="H441" s="1">
        <v>1610</v>
      </c>
    </row>
    <row r="442" spans="1:8" x14ac:dyDescent="0.35">
      <c r="A442" s="2" t="s">
        <v>605</v>
      </c>
      <c r="B442" s="2" t="s">
        <v>368</v>
      </c>
      <c r="C442" s="3">
        <v>378.91</v>
      </c>
      <c r="D442" s="1">
        <v>430</v>
      </c>
      <c r="E442" t="str">
        <f>VLOOKUP(A442,Sheet2!A:E,5,)</f>
        <v>JIM BEAM BOURBON WHY</v>
      </c>
      <c r="F442" t="s">
        <v>374</v>
      </c>
      <c r="G442" s="3">
        <v>378.91</v>
      </c>
      <c r="H442" s="1">
        <v>430</v>
      </c>
    </row>
    <row r="443" spans="1:8" x14ac:dyDescent="0.35">
      <c r="A443" s="2" t="s">
        <v>155</v>
      </c>
      <c r="B443" s="2" t="s">
        <v>369</v>
      </c>
      <c r="C443" s="3">
        <v>1521.64</v>
      </c>
      <c r="D443" s="1">
        <v>1710</v>
      </c>
      <c r="E443" t="str">
        <f>VLOOKUP(A443,Sheet2!A:E,5,)</f>
        <v>JIM BEAM BOURBON WHY</v>
      </c>
      <c r="F443" t="s">
        <v>4</v>
      </c>
      <c r="G443" s="3">
        <v>1521.64</v>
      </c>
      <c r="H443" s="1">
        <v>1710</v>
      </c>
    </row>
    <row r="444" spans="1:8" x14ac:dyDescent="0.35">
      <c r="A444" s="2" t="s">
        <v>606</v>
      </c>
      <c r="B444" s="2" t="s">
        <v>369</v>
      </c>
      <c r="C444" s="3">
        <v>2341.5500000000002</v>
      </c>
      <c r="D444" s="1">
        <v>2630</v>
      </c>
      <c r="E444" t="str">
        <f>VLOOKUP(A444,Sheet2!A:E,5,)</f>
        <v>JIM BEAM HONEY/ORANGE</v>
      </c>
      <c r="F444" t="s">
        <v>4</v>
      </c>
      <c r="G444" s="3">
        <v>2341.5500000000002</v>
      </c>
      <c r="H444" s="1">
        <v>2630</v>
      </c>
    </row>
    <row r="445" spans="1:8" x14ac:dyDescent="0.35">
      <c r="A445" s="2" t="s">
        <v>156</v>
      </c>
      <c r="B445" s="2" t="s">
        <v>369</v>
      </c>
      <c r="C445" s="3">
        <v>2164.4699999999998</v>
      </c>
      <c r="D445" s="1">
        <v>2430</v>
      </c>
      <c r="E445" t="str">
        <f>VLOOKUP(A445,Sheet2!A:E,5,)</f>
        <v>JIM BEAM WHITE WHY</v>
      </c>
      <c r="F445" t="s">
        <v>4</v>
      </c>
      <c r="G445" s="3">
        <v>2164.4699999999998</v>
      </c>
      <c r="H445" s="1">
        <v>2430</v>
      </c>
    </row>
    <row r="446" spans="1:8" x14ac:dyDescent="0.35">
      <c r="A446" s="2" t="s">
        <v>607</v>
      </c>
      <c r="B446" s="2" t="s">
        <v>370</v>
      </c>
      <c r="C446" s="3">
        <v>630.75</v>
      </c>
      <c r="D446" s="1">
        <v>710</v>
      </c>
      <c r="E446" t="str">
        <f>VLOOKUP(A446,Sheet2!A:E,5,)</f>
        <v>JINRO CHAMISUL SOJU WINE</v>
      </c>
      <c r="F446" t="s">
        <v>5</v>
      </c>
      <c r="G446" s="3">
        <v>630.75</v>
      </c>
      <c r="H446" s="1">
        <v>710</v>
      </c>
    </row>
    <row r="447" spans="1:8" x14ac:dyDescent="0.35">
      <c r="A447" s="2" t="s">
        <v>608</v>
      </c>
      <c r="B447" s="2" t="s">
        <v>370</v>
      </c>
      <c r="C447" s="3">
        <v>666.7</v>
      </c>
      <c r="D447" s="1">
        <v>750</v>
      </c>
      <c r="E447" t="str">
        <f>VLOOKUP(A447,Sheet2!A:E,5,)</f>
        <v>JINRO GREEN GRAPE/FRUIT SOJU WINE</v>
      </c>
      <c r="F447" t="s">
        <v>5</v>
      </c>
      <c r="G447" s="3">
        <v>666.7</v>
      </c>
      <c r="H447" s="1">
        <v>750</v>
      </c>
    </row>
    <row r="448" spans="1:8" x14ac:dyDescent="0.35">
      <c r="A448" s="2" t="s">
        <v>157</v>
      </c>
      <c r="B448" s="2" t="s">
        <v>367</v>
      </c>
      <c r="C448" s="3">
        <v>4126.25</v>
      </c>
      <c r="D448" s="1">
        <v>4630</v>
      </c>
      <c r="E448" t="str">
        <f>VLOOKUP(A448,Sheet2!A:E,5,)</f>
        <v>JODHPUR GIN</v>
      </c>
      <c r="F448" t="s">
        <v>4</v>
      </c>
      <c r="G448" s="3">
        <v>4126.25</v>
      </c>
      <c r="H448" s="1">
        <v>4630</v>
      </c>
    </row>
    <row r="449" spans="1:8" x14ac:dyDescent="0.35">
      <c r="A449" s="2" t="s">
        <v>158</v>
      </c>
      <c r="B449" s="2" t="s">
        <v>369</v>
      </c>
      <c r="C449" s="3">
        <v>1886.79</v>
      </c>
      <c r="D449" s="1">
        <v>2120</v>
      </c>
      <c r="E449" t="str">
        <f>VLOOKUP(A449,Sheet2!A:E,5,)</f>
        <v>JOHNSTON SHIRAZ WINE</v>
      </c>
      <c r="F449" t="s">
        <v>4</v>
      </c>
      <c r="G449" s="3">
        <v>1886.79</v>
      </c>
      <c r="H449" s="1">
        <v>2120</v>
      </c>
    </row>
    <row r="450" spans="1:8" x14ac:dyDescent="0.35">
      <c r="A450" s="2" t="s">
        <v>159</v>
      </c>
      <c r="B450" s="2" t="s">
        <v>369</v>
      </c>
      <c r="C450" s="3">
        <v>3672.56</v>
      </c>
      <c r="D450" s="1">
        <v>4120</v>
      </c>
      <c r="E450" t="str">
        <f>VLOOKUP(A450,Sheet2!A:E,5,)</f>
        <v>JOSE CUERVO REPOSADO TAQUILA</v>
      </c>
      <c r="F450" t="s">
        <v>4</v>
      </c>
      <c r="G450" s="3">
        <v>3672.56</v>
      </c>
      <c r="H450" s="1">
        <v>4120</v>
      </c>
    </row>
    <row r="451" spans="1:8" x14ac:dyDescent="0.35">
      <c r="A451" s="2" t="s">
        <v>160</v>
      </c>
      <c r="B451" s="2" t="s">
        <v>369</v>
      </c>
      <c r="C451" s="3">
        <v>3551.34</v>
      </c>
      <c r="D451" s="1">
        <v>3980</v>
      </c>
      <c r="E451" t="str">
        <f>VLOOKUP(A451,Sheet2!A:E,5,)</f>
        <v>JOSE CUERVO SILVER</v>
      </c>
      <c r="F451" t="s">
        <v>4</v>
      </c>
      <c r="G451" s="3">
        <v>3551.34</v>
      </c>
      <c r="H451" s="1">
        <v>3980</v>
      </c>
    </row>
    <row r="452" spans="1:8" x14ac:dyDescent="0.35">
      <c r="A452" s="2" t="s">
        <v>161</v>
      </c>
      <c r="B452" s="2" t="s">
        <v>367</v>
      </c>
      <c r="C452" s="3">
        <v>4742.88</v>
      </c>
      <c r="D452" s="1">
        <v>5320</v>
      </c>
      <c r="E452" t="str">
        <f>VLOOKUP(A452,Sheet2!A:E,5,)</f>
        <v>JURA 10Y</v>
      </c>
      <c r="F452" t="s">
        <v>4</v>
      </c>
      <c r="G452" s="3">
        <v>4742.88</v>
      </c>
      <c r="H452" s="1">
        <v>5320</v>
      </c>
    </row>
    <row r="453" spans="1:8" x14ac:dyDescent="0.35">
      <c r="A453" s="2" t="s">
        <v>609</v>
      </c>
      <c r="B453" s="2" t="s">
        <v>369</v>
      </c>
      <c r="C453" s="3">
        <v>5421.62</v>
      </c>
      <c r="D453" s="1">
        <v>6080</v>
      </c>
      <c r="E453" t="str">
        <f>VLOOKUP(A453,Sheet2!A:E,5,)</f>
        <v>JURA 12Y OLD SINGLE MALT SCOTCH</v>
      </c>
      <c r="F453" t="s">
        <v>4</v>
      </c>
      <c r="G453" s="3">
        <v>5421.62</v>
      </c>
      <c r="H453" s="1">
        <v>6080</v>
      </c>
    </row>
    <row r="454" spans="1:8" x14ac:dyDescent="0.35">
      <c r="A454" s="2" t="s">
        <v>162</v>
      </c>
      <c r="B454" s="2" t="s">
        <v>367</v>
      </c>
      <c r="C454" s="3">
        <v>11256.29</v>
      </c>
      <c r="D454" s="1">
        <v>12610</v>
      </c>
      <c r="E454" t="str">
        <f>VLOOKUP(A454,Sheet2!A:E,5,)</f>
        <v>JURA 18Y OLD</v>
      </c>
      <c r="F454" t="s">
        <v>4</v>
      </c>
      <c r="G454" s="3">
        <v>11256.29</v>
      </c>
      <c r="H454" s="1">
        <v>12610</v>
      </c>
    </row>
    <row r="455" spans="1:8" x14ac:dyDescent="0.35">
      <c r="A455" s="2" t="s">
        <v>610</v>
      </c>
      <c r="B455" s="2" t="s">
        <v>369</v>
      </c>
      <c r="C455" s="3">
        <v>1702.96</v>
      </c>
      <c r="D455" s="1">
        <v>1910</v>
      </c>
      <c r="E455" t="str">
        <f>VLOOKUP(A455,Sheet2!A:E,5,)</f>
        <v>JUSTERINI &amp; BROOKS RARE (J&amp;B)</v>
      </c>
      <c r="F455" t="s">
        <v>4</v>
      </c>
      <c r="G455" s="3">
        <v>1702.96</v>
      </c>
      <c r="H455" s="1">
        <v>1910</v>
      </c>
    </row>
    <row r="456" spans="1:8" x14ac:dyDescent="0.35">
      <c r="A456" s="2" t="s">
        <v>163</v>
      </c>
      <c r="B456" s="2" t="s">
        <v>369</v>
      </c>
      <c r="C456" s="3">
        <v>7606.68</v>
      </c>
      <c r="D456" s="1">
        <v>8520</v>
      </c>
      <c r="E456" t="str">
        <f>VLOOKUP(A456,Sheet2!A:E,5,)</f>
        <v>JW 18Y OLD</v>
      </c>
      <c r="F456" t="s">
        <v>4</v>
      </c>
      <c r="G456" s="3">
        <v>7606.68</v>
      </c>
      <c r="H456" s="1">
        <v>8520</v>
      </c>
    </row>
    <row r="457" spans="1:8" x14ac:dyDescent="0.35">
      <c r="A457" s="2" t="s">
        <v>164</v>
      </c>
      <c r="B457" s="2" t="s">
        <v>368</v>
      </c>
      <c r="C457" s="3">
        <v>995.44</v>
      </c>
      <c r="D457" s="1">
        <v>1120</v>
      </c>
      <c r="E457" t="str">
        <f>VLOOKUP(A457,Sheet2!A:E,5,)</f>
        <v>JW BLACK 12Y</v>
      </c>
      <c r="F457" t="s">
        <v>374</v>
      </c>
      <c r="G457" s="3">
        <v>995.44</v>
      </c>
      <c r="H457" s="1">
        <v>1120</v>
      </c>
    </row>
    <row r="458" spans="1:8" x14ac:dyDescent="0.35">
      <c r="A458" s="2" t="s">
        <v>165</v>
      </c>
      <c r="B458" s="2" t="s">
        <v>369</v>
      </c>
      <c r="C458" s="3">
        <v>2886.7</v>
      </c>
      <c r="D458" s="1">
        <v>3240</v>
      </c>
      <c r="E458" t="str">
        <f>VLOOKUP(A458,Sheet2!A:E,5,)</f>
        <v>JW BLACK 12Y</v>
      </c>
      <c r="F458" t="s">
        <v>4</v>
      </c>
      <c r="G458" s="3">
        <v>2886.7</v>
      </c>
      <c r="H458" s="1">
        <v>3240</v>
      </c>
    </row>
    <row r="459" spans="1:8" x14ac:dyDescent="0.35">
      <c r="A459" s="2" t="s">
        <v>166</v>
      </c>
      <c r="B459" s="2" t="s">
        <v>369</v>
      </c>
      <c r="C459" s="3">
        <v>3768.89</v>
      </c>
      <c r="D459" s="1">
        <v>4230</v>
      </c>
      <c r="E459" t="str">
        <f>VLOOKUP(A459,Sheet2!A:E,5,)</f>
        <v>JW BLACK LABEL</v>
      </c>
      <c r="F459" t="s">
        <v>4</v>
      </c>
      <c r="G459" s="3">
        <v>3768.89</v>
      </c>
      <c r="H459" s="1">
        <v>4230</v>
      </c>
    </row>
    <row r="460" spans="1:8" x14ac:dyDescent="0.35">
      <c r="A460" s="2" t="s">
        <v>167</v>
      </c>
      <c r="B460" s="2" t="s">
        <v>372</v>
      </c>
      <c r="C460" s="3">
        <v>273.68</v>
      </c>
      <c r="D460" s="1">
        <v>310</v>
      </c>
      <c r="E460" t="str">
        <f>VLOOKUP(A460,Sheet2!A:E,5,)</f>
        <v>JW BLACK LABEL</v>
      </c>
      <c r="F460" t="s">
        <v>374</v>
      </c>
      <c r="G460" s="3">
        <v>273.68</v>
      </c>
      <c r="H460" s="1">
        <v>310</v>
      </c>
    </row>
    <row r="461" spans="1:8" x14ac:dyDescent="0.35">
      <c r="A461" s="2" t="s">
        <v>168</v>
      </c>
      <c r="B461" s="2" t="s">
        <v>369</v>
      </c>
      <c r="C461" s="3">
        <v>2983.41</v>
      </c>
      <c r="D461" s="1">
        <v>3350</v>
      </c>
      <c r="E461" t="str">
        <f>VLOOKUP(A461,Sheet2!A:E,5,)</f>
        <v>JW BLACK LABEL</v>
      </c>
      <c r="F461" t="s">
        <v>4</v>
      </c>
      <c r="G461" s="3">
        <v>2983.41</v>
      </c>
      <c r="H461" s="1">
        <v>3350</v>
      </c>
    </row>
    <row r="462" spans="1:8" x14ac:dyDescent="0.35">
      <c r="A462" s="2" t="s">
        <v>611</v>
      </c>
      <c r="B462" s="2" t="s">
        <v>368</v>
      </c>
      <c r="C462" s="3">
        <v>550</v>
      </c>
      <c r="D462" s="1">
        <v>620</v>
      </c>
      <c r="E462" t="str">
        <f>VLOOKUP(A462,Sheet2!A:E,5,)</f>
        <v>J/W BLONDE BLEND</v>
      </c>
      <c r="F462" t="s">
        <v>374</v>
      </c>
      <c r="G462" s="3">
        <v>550</v>
      </c>
      <c r="H462" s="1">
        <v>620</v>
      </c>
    </row>
    <row r="463" spans="1:8" x14ac:dyDescent="0.35">
      <c r="A463" s="2" t="s">
        <v>612</v>
      </c>
      <c r="B463" s="2" t="s">
        <v>369</v>
      </c>
      <c r="C463" s="3">
        <v>2381</v>
      </c>
      <c r="D463" s="1">
        <v>2670</v>
      </c>
      <c r="E463" t="str">
        <f>VLOOKUP(A463,Sheet2!A:E,5,)</f>
        <v>J/W BLONDE BLEND</v>
      </c>
      <c r="F463" t="s">
        <v>4</v>
      </c>
      <c r="G463" s="3">
        <v>2381</v>
      </c>
      <c r="H463" s="1">
        <v>2670</v>
      </c>
    </row>
    <row r="464" spans="1:8" x14ac:dyDescent="0.35">
      <c r="A464" s="2" t="s">
        <v>169</v>
      </c>
      <c r="B464" s="2" t="s">
        <v>369</v>
      </c>
      <c r="C464" s="3">
        <v>14272.31</v>
      </c>
      <c r="D464" s="1">
        <v>15990</v>
      </c>
      <c r="E464" t="str">
        <f>VLOOKUP(A464,Sheet2!A:E,5,)</f>
        <v>JW BLUE LABEL</v>
      </c>
      <c r="F464" t="s">
        <v>4</v>
      </c>
      <c r="G464" s="3">
        <v>14272.31</v>
      </c>
      <c r="H464" s="1">
        <v>15990</v>
      </c>
    </row>
    <row r="465" spans="1:8" x14ac:dyDescent="0.35">
      <c r="A465" s="2" t="s">
        <v>613</v>
      </c>
      <c r="B465" s="2" t="s">
        <v>369</v>
      </c>
      <c r="C465" s="3">
        <v>20504.990000000002</v>
      </c>
      <c r="D465" s="1">
        <v>22970</v>
      </c>
      <c r="E465" t="str">
        <f>VLOOKUP(A465,Sheet2!A:E,5,)</f>
        <v>J W BLUE LABLE (CITY X MARS)1 PCS</v>
      </c>
      <c r="F465" t="s">
        <v>4</v>
      </c>
      <c r="G465" s="3">
        <v>20504.990000000002</v>
      </c>
      <c r="H465" s="1">
        <v>22970</v>
      </c>
    </row>
    <row r="466" spans="1:8" x14ac:dyDescent="0.35">
      <c r="A466" s="2" t="s">
        <v>614</v>
      </c>
      <c r="B466" s="2" t="s">
        <v>369</v>
      </c>
      <c r="C466" s="3">
        <v>19133.189999999999</v>
      </c>
      <c r="D466" s="1">
        <v>21430</v>
      </c>
      <c r="E466" t="str">
        <f>VLOOKUP(A466,Sheet2!A:E,5,)</f>
        <v>J W BLUE LABLE (LONDON)1 PCS</v>
      </c>
      <c r="F466" t="s">
        <v>4</v>
      </c>
      <c r="G466" s="3">
        <v>19133.189999999999</v>
      </c>
      <c r="H466" s="1">
        <v>21430</v>
      </c>
    </row>
    <row r="467" spans="1:8" x14ac:dyDescent="0.35">
      <c r="A467" s="2" t="s">
        <v>170</v>
      </c>
      <c r="B467" s="2" t="s">
        <v>369</v>
      </c>
      <c r="C467" s="3">
        <v>3510.07</v>
      </c>
      <c r="D467" s="1">
        <v>3940</v>
      </c>
      <c r="E467" t="str">
        <f>VLOOKUP(A467,Sheet2!A:E,5,)</f>
        <v>JW DOUBLE BLACK S/W</v>
      </c>
      <c r="F467" t="s">
        <v>4</v>
      </c>
      <c r="G467" s="3">
        <v>3510.07</v>
      </c>
      <c r="H467" s="1">
        <v>3940</v>
      </c>
    </row>
    <row r="468" spans="1:8" x14ac:dyDescent="0.35">
      <c r="A468" s="2" t="s">
        <v>615</v>
      </c>
      <c r="B468" s="2" t="s">
        <v>369</v>
      </c>
      <c r="C468" s="3">
        <v>4760.92</v>
      </c>
      <c r="D468" s="1">
        <v>5340</v>
      </c>
      <c r="E468" t="str">
        <f>VLOOKUP(A468,Sheet2!A:E,5,)</f>
        <v>JW GOLD LABEL RESERVE</v>
      </c>
      <c r="F468" t="s">
        <v>4</v>
      </c>
      <c r="G468" s="3">
        <v>4760.92</v>
      </c>
      <c r="H468" s="1">
        <v>5340</v>
      </c>
    </row>
    <row r="469" spans="1:8" x14ac:dyDescent="0.35">
      <c r="A469" s="2" t="s">
        <v>171</v>
      </c>
      <c r="B469" s="2" t="s">
        <v>368</v>
      </c>
      <c r="C469" s="3">
        <v>615.66999999999996</v>
      </c>
      <c r="D469" s="1">
        <v>690</v>
      </c>
      <c r="E469" t="str">
        <f>VLOOKUP(A469,Sheet2!A:E,5,)</f>
        <v>JW RED LABEL</v>
      </c>
      <c r="F469" t="s">
        <v>374</v>
      </c>
      <c r="G469" s="3">
        <v>615.66999999999996</v>
      </c>
      <c r="H469" s="1">
        <v>690</v>
      </c>
    </row>
    <row r="470" spans="1:8" x14ac:dyDescent="0.35">
      <c r="A470" s="2" t="s">
        <v>172</v>
      </c>
      <c r="B470" s="2" t="s">
        <v>370</v>
      </c>
      <c r="C470" s="3">
        <v>1024.5999999999999</v>
      </c>
      <c r="D470" s="1">
        <v>1150</v>
      </c>
      <c r="E470" t="str">
        <f>VLOOKUP(A470,Sheet2!A:E,5,)</f>
        <v>JW RED LABEL</v>
      </c>
      <c r="F470" t="s">
        <v>5</v>
      </c>
      <c r="G470" s="3">
        <v>1024.5999999999999</v>
      </c>
      <c r="H470" s="1">
        <v>1150</v>
      </c>
    </row>
    <row r="471" spans="1:8" x14ac:dyDescent="0.35">
      <c r="A471" s="2" t="s">
        <v>173</v>
      </c>
      <c r="B471" s="2" t="s">
        <v>372</v>
      </c>
      <c r="C471" s="3">
        <v>207.67</v>
      </c>
      <c r="D471" s="1">
        <v>240</v>
      </c>
      <c r="E471" t="str">
        <f>VLOOKUP(A471,Sheet2!A:E,5,)</f>
        <v>JW RED LABEL</v>
      </c>
      <c r="F471" t="s">
        <v>374</v>
      </c>
      <c r="G471" s="3">
        <v>207.67</v>
      </c>
      <c r="H471" s="1">
        <v>240</v>
      </c>
    </row>
    <row r="472" spans="1:8" x14ac:dyDescent="0.35">
      <c r="A472" s="2" t="s">
        <v>174</v>
      </c>
      <c r="B472" s="2" t="s">
        <v>369</v>
      </c>
      <c r="C472" s="3">
        <v>1655.32</v>
      </c>
      <c r="D472" s="1">
        <v>1860</v>
      </c>
      <c r="E472" t="str">
        <f>VLOOKUP(A472,Sheet2!A:E,5,)</f>
        <v>JW RED LABEL</v>
      </c>
      <c r="F472" t="s">
        <v>4</v>
      </c>
      <c r="G472" s="3">
        <v>1655.32</v>
      </c>
      <c r="H472" s="1">
        <v>1860</v>
      </c>
    </row>
    <row r="473" spans="1:8" x14ac:dyDescent="0.35">
      <c r="A473" s="2" t="s">
        <v>616</v>
      </c>
      <c r="B473" s="2" t="s">
        <v>369</v>
      </c>
      <c r="C473" s="3">
        <v>7514.06</v>
      </c>
      <c r="D473" s="1">
        <v>8420</v>
      </c>
      <c r="E473" t="str">
        <f>VLOOKUP(A473,Sheet2!A:E,5,)</f>
        <v>J/W ULTIMATE 18 YEARS</v>
      </c>
      <c r="F473" t="s">
        <v>4</v>
      </c>
      <c r="G473" s="3">
        <v>7514.06</v>
      </c>
      <c r="H473" s="1">
        <v>8420</v>
      </c>
    </row>
    <row r="474" spans="1:8" x14ac:dyDescent="0.35">
      <c r="A474" s="2" t="s">
        <v>617</v>
      </c>
      <c r="B474" s="2" t="s">
        <v>369</v>
      </c>
      <c r="C474" s="3">
        <v>1984.75</v>
      </c>
      <c r="D474" s="1">
        <v>2230</v>
      </c>
      <c r="E474" t="str">
        <f>VLOOKUP(A474,Sheet2!A:E,5,)</f>
        <v>KAHLUA COFEE LIQUEUR</v>
      </c>
      <c r="F474" t="s">
        <v>4</v>
      </c>
      <c r="G474" s="3">
        <v>1984.75</v>
      </c>
      <c r="H474" s="1">
        <v>2230</v>
      </c>
    </row>
    <row r="475" spans="1:8" x14ac:dyDescent="0.35">
      <c r="A475" s="2" t="s">
        <v>618</v>
      </c>
      <c r="B475" s="2" t="s">
        <v>369</v>
      </c>
      <c r="C475" s="3">
        <v>2007.18</v>
      </c>
      <c r="D475" s="1">
        <v>2250</v>
      </c>
      <c r="E475" t="str">
        <f>VLOOKUP(A475,Sheet2!A:E,5,)</f>
        <v>KAHLUA COFEE LIQUEUR</v>
      </c>
      <c r="F475" t="s">
        <v>4</v>
      </c>
      <c r="G475" s="3">
        <v>2007.18</v>
      </c>
      <c r="H475" s="1">
        <v>2250</v>
      </c>
    </row>
    <row r="476" spans="1:8" x14ac:dyDescent="0.35">
      <c r="A476" s="2" t="s">
        <v>175</v>
      </c>
      <c r="B476" s="2" t="s">
        <v>369</v>
      </c>
      <c r="C476" s="3">
        <v>2033.89</v>
      </c>
      <c r="D476" s="1">
        <v>2280</v>
      </c>
      <c r="E476" t="str">
        <f>VLOOKUP(A476,Sheet2!A:E,5,)</f>
        <v>KETEL ONE</v>
      </c>
      <c r="F476" t="s">
        <v>4</v>
      </c>
      <c r="G476" s="3">
        <v>2033.89</v>
      </c>
      <c r="H476" s="1">
        <v>2280</v>
      </c>
    </row>
    <row r="477" spans="1:8" x14ac:dyDescent="0.35">
      <c r="A477" s="2" t="s">
        <v>619</v>
      </c>
      <c r="B477" s="2" t="s">
        <v>368</v>
      </c>
      <c r="C477" s="3">
        <v>224.8</v>
      </c>
      <c r="D477" s="1">
        <v>260</v>
      </c>
      <c r="E477" t="str">
        <f>VLOOKUP(A477,Sheet2!A:E,5,)</f>
        <v>KILBURN WHISKEY</v>
      </c>
      <c r="F477" t="s">
        <v>374</v>
      </c>
      <c r="G477" s="3">
        <v>224.8</v>
      </c>
      <c r="H477" s="1">
        <v>260</v>
      </c>
    </row>
    <row r="478" spans="1:8" x14ac:dyDescent="0.35">
      <c r="A478" s="2" t="s">
        <v>620</v>
      </c>
      <c r="B478" s="2" t="s">
        <v>370</v>
      </c>
      <c r="C478" s="3">
        <v>434.46</v>
      </c>
      <c r="D478" s="1">
        <v>490</v>
      </c>
      <c r="E478" t="str">
        <f>VLOOKUP(A478,Sheet2!A:E,5,)</f>
        <v>KILBURN WHISKEY</v>
      </c>
      <c r="F478" t="s">
        <v>5</v>
      </c>
      <c r="G478" s="3">
        <v>434.46</v>
      </c>
      <c r="H478" s="1">
        <v>490</v>
      </c>
    </row>
    <row r="479" spans="1:8" x14ac:dyDescent="0.35">
      <c r="A479" s="2" t="s">
        <v>621</v>
      </c>
      <c r="B479" s="2" t="s">
        <v>369</v>
      </c>
      <c r="C479" s="3">
        <v>866.78</v>
      </c>
      <c r="D479" s="1">
        <v>980</v>
      </c>
      <c r="E479" t="str">
        <f>VLOOKUP(A479,Sheet2!A:E,5,)</f>
        <v>KILBURN WHISKEY</v>
      </c>
      <c r="F479" t="s">
        <v>4</v>
      </c>
      <c r="G479" s="3">
        <v>866.78</v>
      </c>
      <c r="H479" s="1">
        <v>980</v>
      </c>
    </row>
    <row r="480" spans="1:8" x14ac:dyDescent="0.35">
      <c r="A480" s="2" t="s">
        <v>176</v>
      </c>
      <c r="B480" s="2" t="s">
        <v>369</v>
      </c>
      <c r="C480" s="3">
        <v>3567.25</v>
      </c>
      <c r="D480" s="1">
        <v>4000</v>
      </c>
      <c r="E480" t="str">
        <f>VLOOKUP(A480,Sheet2!A:E,5,)</f>
        <v>KNUT HANSEN DRY GIN</v>
      </c>
      <c r="F480" t="s">
        <v>4</v>
      </c>
      <c r="G480" s="3">
        <v>3567.25</v>
      </c>
      <c r="H480" s="1">
        <v>4000</v>
      </c>
    </row>
    <row r="481" spans="1:8" x14ac:dyDescent="0.35">
      <c r="A481" s="2" t="s">
        <v>622</v>
      </c>
      <c r="B481" s="2" t="s">
        <v>369</v>
      </c>
      <c r="C481" s="3">
        <v>4116.3100000000004</v>
      </c>
      <c r="D481" s="1">
        <v>4620</v>
      </c>
      <c r="E481" t="str">
        <f>VLOOKUP(A481,Sheet2!A:E,5,)</f>
        <v>KOHINOOR RUM</v>
      </c>
      <c r="F481" t="s">
        <v>4</v>
      </c>
      <c r="G481" s="3">
        <v>4116.3100000000004</v>
      </c>
      <c r="H481" s="1">
        <v>4620</v>
      </c>
    </row>
    <row r="482" spans="1:8" x14ac:dyDescent="0.35">
      <c r="A482" s="2" t="s">
        <v>623</v>
      </c>
      <c r="B482" s="2" t="s">
        <v>368</v>
      </c>
      <c r="C482" s="3">
        <v>148.85</v>
      </c>
      <c r="D482" s="1">
        <v>170</v>
      </c>
      <c r="E482" t="str">
        <f>VLOOKUP(A482,Sheet2!A:E,5,)</f>
        <v>K.R PREM GREEN APPLE VODKA</v>
      </c>
      <c r="F482" t="s">
        <v>374</v>
      </c>
      <c r="G482" s="3">
        <v>148.85</v>
      </c>
      <c r="H482" s="1">
        <v>170</v>
      </c>
    </row>
    <row r="483" spans="1:8" x14ac:dyDescent="0.35">
      <c r="A483" s="2" t="s">
        <v>623</v>
      </c>
      <c r="B483" s="2" t="s">
        <v>370</v>
      </c>
      <c r="C483" s="3">
        <v>295.72000000000003</v>
      </c>
      <c r="D483" s="1">
        <v>340</v>
      </c>
      <c r="E483" t="str">
        <f>VLOOKUP(A483,Sheet2!A:E,5,)</f>
        <v>K.R PREM GREEN APPLE VODKA</v>
      </c>
      <c r="F483" t="s">
        <v>5</v>
      </c>
      <c r="G483" s="3">
        <v>295.72000000000003</v>
      </c>
      <c r="H483" s="1">
        <v>340</v>
      </c>
    </row>
    <row r="484" spans="1:8" x14ac:dyDescent="0.35">
      <c r="A484" s="2" t="s">
        <v>624</v>
      </c>
      <c r="B484" s="2" t="s">
        <v>369</v>
      </c>
      <c r="C484" s="3">
        <v>9615.7199999999993</v>
      </c>
      <c r="D484" s="1">
        <v>10770</v>
      </c>
      <c r="E484" t="str">
        <f>VLOOKUP(A484,Sheet2!A:E,5,)</f>
        <v>LAGAVULIN ISLAY SINGLE SCH WSY</v>
      </c>
      <c r="F484" t="s">
        <v>4</v>
      </c>
      <c r="G484" s="3">
        <v>9615.7199999999993</v>
      </c>
      <c r="H484" s="1">
        <v>10770</v>
      </c>
    </row>
    <row r="485" spans="1:8" x14ac:dyDescent="0.35">
      <c r="A485" s="2" t="s">
        <v>625</v>
      </c>
      <c r="B485" s="2" t="s">
        <v>369</v>
      </c>
      <c r="C485" s="3">
        <v>4323.8500000000004</v>
      </c>
      <c r="D485" s="1">
        <v>4850</v>
      </c>
      <c r="E485" t="str">
        <f>VLOOKUP(A485,Sheet2!A:E,5,)</f>
        <v>LAPHROAIG 10 Y</v>
      </c>
      <c r="F485" t="s">
        <v>4</v>
      </c>
      <c r="G485" s="3">
        <v>4323.8500000000004</v>
      </c>
      <c r="H485" s="1">
        <v>4850</v>
      </c>
    </row>
    <row r="486" spans="1:8" x14ac:dyDescent="0.35">
      <c r="A486" s="2" t="s">
        <v>177</v>
      </c>
      <c r="B486" s="2" t="s">
        <v>369</v>
      </c>
      <c r="C486" s="3">
        <v>917.37</v>
      </c>
      <c r="D486" s="1">
        <v>1030</v>
      </c>
      <c r="E486" t="str">
        <f>VLOOKUP(A486,Sheet2!A:E,5,)</f>
        <v>LA ROCCA VINO ROSO/BLANCO</v>
      </c>
      <c r="F486" t="s">
        <v>4</v>
      </c>
      <c r="G486" s="3">
        <v>917.37</v>
      </c>
      <c r="H486" s="1">
        <v>1030</v>
      </c>
    </row>
    <row r="487" spans="1:8" x14ac:dyDescent="0.35">
      <c r="A487" s="2" t="s">
        <v>626</v>
      </c>
      <c r="B487" s="2" t="s">
        <v>368</v>
      </c>
      <c r="C487" s="3">
        <v>224.83</v>
      </c>
      <c r="D487" s="1">
        <v>260</v>
      </c>
      <c r="E487" t="str">
        <f>VLOOKUP(A487,Sheet2!A:E,5,)</f>
        <v>LEGANCY BLENDED WHISKY</v>
      </c>
      <c r="F487" t="s">
        <v>374</v>
      </c>
      <c r="G487" s="3">
        <v>224.83</v>
      </c>
      <c r="H487" s="1">
        <v>260</v>
      </c>
    </row>
    <row r="488" spans="1:8" x14ac:dyDescent="0.35">
      <c r="A488" s="2" t="s">
        <v>626</v>
      </c>
      <c r="B488" s="2" t="s">
        <v>370</v>
      </c>
      <c r="C488" s="3">
        <v>457.75</v>
      </c>
      <c r="D488" s="1">
        <v>520</v>
      </c>
      <c r="E488" t="str">
        <f>VLOOKUP(A488,Sheet2!A:E,5,)</f>
        <v>LEGANCY BLENDED WHISKY</v>
      </c>
      <c r="F488" t="s">
        <v>5</v>
      </c>
      <c r="G488" s="3">
        <v>457.75</v>
      </c>
      <c r="H488" s="1">
        <v>520</v>
      </c>
    </row>
    <row r="489" spans="1:8" x14ac:dyDescent="0.35">
      <c r="A489" s="2" t="s">
        <v>626</v>
      </c>
      <c r="B489" s="2" t="s">
        <v>369</v>
      </c>
      <c r="C489" s="3">
        <v>895.07</v>
      </c>
      <c r="D489" s="1">
        <v>1010</v>
      </c>
      <c r="E489" t="str">
        <f>VLOOKUP(A489,Sheet2!A:E,5,)</f>
        <v>LEGANCY BLENDED WHISKY</v>
      </c>
      <c r="F489" t="s">
        <v>4</v>
      </c>
      <c r="G489" s="3">
        <v>895.07</v>
      </c>
      <c r="H489" s="1">
        <v>1010</v>
      </c>
    </row>
    <row r="490" spans="1:8" x14ac:dyDescent="0.35">
      <c r="A490" s="2" t="s">
        <v>627</v>
      </c>
      <c r="B490" s="2" t="s">
        <v>369</v>
      </c>
      <c r="C490" s="3">
        <v>1044.55</v>
      </c>
      <c r="D490" s="1">
        <v>1170</v>
      </c>
      <c r="E490" t="str">
        <f>VLOOKUP(A490,Sheet2!A:E,5,)</f>
        <v>LE GRAND NOIR CAB SAU</v>
      </c>
      <c r="F490" t="s">
        <v>4</v>
      </c>
      <c r="G490" s="3">
        <v>1044.55</v>
      </c>
      <c r="H490" s="1">
        <v>1170</v>
      </c>
    </row>
    <row r="491" spans="1:8" x14ac:dyDescent="0.35">
      <c r="A491" s="2" t="s">
        <v>628</v>
      </c>
      <c r="B491" s="2" t="s">
        <v>368</v>
      </c>
      <c r="C491" s="3">
        <v>148.74</v>
      </c>
      <c r="D491" s="1">
        <v>170</v>
      </c>
      <c r="E491" t="str">
        <f>VLOOKUP(A491,Sheet2!A:E,5,)</f>
        <v>LIFT UP G. APPLE</v>
      </c>
      <c r="F491" t="s">
        <v>374</v>
      </c>
      <c r="G491" s="3">
        <v>148.74</v>
      </c>
      <c r="H491" s="1">
        <v>170</v>
      </c>
    </row>
    <row r="492" spans="1:8" x14ac:dyDescent="0.35">
      <c r="A492" s="2" t="s">
        <v>628</v>
      </c>
      <c r="B492" s="2" t="s">
        <v>370</v>
      </c>
      <c r="C492" s="3">
        <v>295.22000000000003</v>
      </c>
      <c r="D492" s="1">
        <v>340</v>
      </c>
      <c r="E492" t="str">
        <f>VLOOKUP(A492,Sheet2!A:E,5,)</f>
        <v>LIFT UP G. APPLE</v>
      </c>
      <c r="F492" t="s">
        <v>5</v>
      </c>
      <c r="G492" s="3">
        <v>295.22000000000003</v>
      </c>
      <c r="H492" s="1">
        <v>340</v>
      </c>
    </row>
    <row r="493" spans="1:8" x14ac:dyDescent="0.35">
      <c r="A493" s="2" t="s">
        <v>628</v>
      </c>
      <c r="B493" s="2" t="s">
        <v>369</v>
      </c>
      <c r="C493" s="3">
        <v>579.82000000000005</v>
      </c>
      <c r="D493" s="1">
        <v>650</v>
      </c>
      <c r="E493" t="str">
        <f>VLOOKUP(A493,Sheet2!A:E,5,)</f>
        <v>LIFT UP G. APPLE</v>
      </c>
      <c r="F493" t="s">
        <v>4</v>
      </c>
      <c r="G493" s="3">
        <v>579.82000000000005</v>
      </c>
      <c r="H493" s="1">
        <v>650</v>
      </c>
    </row>
    <row r="494" spans="1:8" x14ac:dyDescent="0.35">
      <c r="A494" s="2" t="s">
        <v>629</v>
      </c>
      <c r="B494" s="2" t="s">
        <v>368</v>
      </c>
      <c r="C494" s="3">
        <v>129.99</v>
      </c>
      <c r="D494" s="1">
        <v>150</v>
      </c>
      <c r="E494" t="str">
        <f>VLOOKUP(A494,Sheet2!A:E,5,)</f>
        <v>LIFT UP VODKA</v>
      </c>
      <c r="F494" t="s">
        <v>374</v>
      </c>
      <c r="G494" s="3">
        <v>129.99</v>
      </c>
      <c r="H494" s="1">
        <v>150</v>
      </c>
    </row>
    <row r="495" spans="1:8" x14ac:dyDescent="0.35">
      <c r="A495" s="2" t="s">
        <v>629</v>
      </c>
      <c r="B495" s="2" t="s">
        <v>370</v>
      </c>
      <c r="C495" s="3">
        <v>268.63</v>
      </c>
      <c r="D495" s="1">
        <v>310</v>
      </c>
      <c r="E495" t="str">
        <f>VLOOKUP(A495,Sheet2!A:E,5,)</f>
        <v>LIFT UP VODKA</v>
      </c>
      <c r="F495" t="s">
        <v>5</v>
      </c>
      <c r="G495" s="3">
        <v>268.63</v>
      </c>
      <c r="H495" s="1">
        <v>310</v>
      </c>
    </row>
    <row r="496" spans="1:8" x14ac:dyDescent="0.35">
      <c r="A496" s="2" t="s">
        <v>629</v>
      </c>
      <c r="B496" s="2" t="s">
        <v>369</v>
      </c>
      <c r="C496" s="3">
        <v>516.41</v>
      </c>
      <c r="D496" s="1">
        <v>580</v>
      </c>
      <c r="E496" t="str">
        <f>VLOOKUP(A496,Sheet2!A:E,5,)</f>
        <v>LIFT UP VODKA</v>
      </c>
      <c r="F496" t="s">
        <v>4</v>
      </c>
      <c r="G496" s="3">
        <v>516.41</v>
      </c>
      <c r="H496" s="1">
        <v>580</v>
      </c>
    </row>
    <row r="497" spans="1:8" x14ac:dyDescent="0.35">
      <c r="A497" s="2" t="s">
        <v>630</v>
      </c>
      <c r="B497" s="2" t="s">
        <v>369</v>
      </c>
      <c r="C497" s="3">
        <v>1464.64</v>
      </c>
      <c r="D497" s="1">
        <v>1650</v>
      </c>
      <c r="E497" t="str">
        <f>VLOOKUP(A497,Sheet2!A:E,5,)</f>
        <v>LINDEMANS CAWARRA CHARDONNAY</v>
      </c>
      <c r="F497" t="s">
        <v>4</v>
      </c>
      <c r="G497" s="3">
        <v>1464.64</v>
      </c>
      <c r="H497" s="1">
        <v>1650</v>
      </c>
    </row>
    <row r="498" spans="1:8" x14ac:dyDescent="0.35">
      <c r="A498" s="2" t="s">
        <v>631</v>
      </c>
      <c r="B498" s="2" t="s">
        <v>369</v>
      </c>
      <c r="C498" s="3">
        <v>1478.48</v>
      </c>
      <c r="D498" s="1">
        <v>1660</v>
      </c>
      <c r="E498" t="str">
        <f>VLOOKUP(A498,Sheet2!A:E,5,)</f>
        <v>LINDEMANS CAWARRA SHIRAZ CABERNET</v>
      </c>
      <c r="F498" t="s">
        <v>4</v>
      </c>
      <c r="G498" s="3">
        <v>1478.48</v>
      </c>
      <c r="H498" s="1">
        <v>1660</v>
      </c>
    </row>
    <row r="499" spans="1:8" x14ac:dyDescent="0.35">
      <c r="A499" s="2" t="s">
        <v>632</v>
      </c>
      <c r="B499" s="2" t="s">
        <v>369</v>
      </c>
      <c r="C499" s="3">
        <v>973.03</v>
      </c>
      <c r="D499" s="1">
        <v>1090</v>
      </c>
      <c r="E499" t="str">
        <f>VLOOKUP(A499,Sheet2!A:E,5,)</f>
        <v>LINDEMANS PREMIER SELECTION BRUT CUVEE</v>
      </c>
      <c r="F499" t="s">
        <v>4</v>
      </c>
      <c r="G499" s="3">
        <v>973.03</v>
      </c>
      <c r="H499" s="1">
        <v>1090</v>
      </c>
    </row>
    <row r="500" spans="1:8" x14ac:dyDescent="0.35">
      <c r="A500" s="2" t="s">
        <v>633</v>
      </c>
      <c r="B500" s="2" t="s">
        <v>369</v>
      </c>
      <c r="C500" s="3">
        <v>965.05</v>
      </c>
      <c r="D500" s="1">
        <v>1090</v>
      </c>
      <c r="E500" t="str">
        <f>VLOOKUP(A500,Sheet2!A:E,5,)</f>
        <v>LINDEMANS PREMIER SHIRAZ CABERNET</v>
      </c>
      <c r="F500" t="s">
        <v>4</v>
      </c>
      <c r="G500" s="3">
        <v>965.05</v>
      </c>
      <c r="H500" s="1">
        <v>1090</v>
      </c>
    </row>
    <row r="501" spans="1:8" x14ac:dyDescent="0.35">
      <c r="A501" s="2" t="s">
        <v>178</v>
      </c>
      <c r="B501" s="2" t="s">
        <v>369</v>
      </c>
      <c r="C501" s="3">
        <v>1323.29</v>
      </c>
      <c r="D501" s="1">
        <v>1490</v>
      </c>
      <c r="E501" t="str">
        <f>VLOOKUP(A501,Sheet2!A:E,5,)</f>
        <v>LINDMANS PRE. SELECTION CHARDONNAY</v>
      </c>
      <c r="F501" t="s">
        <v>4</v>
      </c>
      <c r="G501" s="3">
        <v>1323.29</v>
      </c>
      <c r="H501" s="1">
        <v>1490</v>
      </c>
    </row>
    <row r="502" spans="1:8" x14ac:dyDescent="0.35">
      <c r="A502" s="2" t="s">
        <v>634</v>
      </c>
      <c r="B502" s="2" t="s">
        <v>369</v>
      </c>
      <c r="C502" s="3">
        <v>1172.68</v>
      </c>
      <c r="D502" s="1">
        <v>1320</v>
      </c>
      <c r="E502" t="str">
        <f>VLOOKUP(A502,Sheet2!A:E,5,)</f>
        <v>LINDMANS PRE. SHIRAZ CABERNET</v>
      </c>
      <c r="F502" t="s">
        <v>4</v>
      </c>
      <c r="G502" s="3">
        <v>1172.68</v>
      </c>
      <c r="H502" s="1">
        <v>1320</v>
      </c>
    </row>
    <row r="503" spans="1:8" x14ac:dyDescent="0.35">
      <c r="A503" s="2" t="s">
        <v>635</v>
      </c>
      <c r="B503" s="2" t="s">
        <v>368</v>
      </c>
      <c r="C503" s="3">
        <v>130.01</v>
      </c>
      <c r="D503" s="1">
        <v>150</v>
      </c>
      <c r="E503" t="str">
        <f>VLOOKUP(A503,Sheet2!A:E,5,)</f>
        <v>LION DADDY RUM</v>
      </c>
      <c r="F503" t="s">
        <v>374</v>
      </c>
      <c r="G503" s="3">
        <v>130.01</v>
      </c>
      <c r="H503" s="1">
        <v>150</v>
      </c>
    </row>
    <row r="504" spans="1:8" x14ac:dyDescent="0.35">
      <c r="A504" s="2" t="s">
        <v>635</v>
      </c>
      <c r="B504" s="2" t="s">
        <v>370</v>
      </c>
      <c r="C504" s="3">
        <v>268.33999999999997</v>
      </c>
      <c r="D504" s="1">
        <v>310</v>
      </c>
      <c r="E504" t="str">
        <f>VLOOKUP(A504,Sheet2!A:E,5,)</f>
        <v>LION DADDY RUM</v>
      </c>
      <c r="F504" t="s">
        <v>5</v>
      </c>
      <c r="G504" s="3">
        <v>268.33999999999997</v>
      </c>
      <c r="H504" s="1">
        <v>310</v>
      </c>
    </row>
    <row r="505" spans="1:8" x14ac:dyDescent="0.35">
      <c r="A505" s="2" t="s">
        <v>179</v>
      </c>
      <c r="B505" s="2" t="s">
        <v>369</v>
      </c>
      <c r="C505" s="3">
        <v>516.67999999999995</v>
      </c>
      <c r="D505" s="1">
        <v>580</v>
      </c>
      <c r="E505" t="str">
        <f>VLOOKUP(A505,Sheet2!A:E,5,)</f>
        <v>LION DADDY RUM</v>
      </c>
      <c r="F505" t="s">
        <v>4</v>
      </c>
      <c r="G505" s="3">
        <v>516.67999999999995</v>
      </c>
      <c r="H505" s="1">
        <v>580</v>
      </c>
    </row>
    <row r="506" spans="1:8" x14ac:dyDescent="0.35">
      <c r="A506" s="2" t="s">
        <v>636</v>
      </c>
      <c r="B506" s="2" t="s">
        <v>372</v>
      </c>
      <c r="C506" s="3">
        <v>120.76</v>
      </c>
      <c r="D506" s="1">
        <v>140</v>
      </c>
      <c r="E506" t="str">
        <f>VLOOKUP(A506,Sheet2!A:E,5,)</f>
        <v>LOC XXX RUM</v>
      </c>
      <c r="F506" t="s">
        <v>374</v>
      </c>
      <c r="G506" s="3">
        <v>120.76</v>
      </c>
      <c r="H506" s="1">
        <v>140</v>
      </c>
    </row>
    <row r="507" spans="1:8" x14ac:dyDescent="0.35">
      <c r="A507" s="2" t="s">
        <v>636</v>
      </c>
      <c r="B507" s="2" t="s">
        <v>370</v>
      </c>
      <c r="C507" s="3">
        <v>249.92</v>
      </c>
      <c r="D507" s="1">
        <v>280</v>
      </c>
      <c r="E507" t="str">
        <f>VLOOKUP(A507,Sheet2!A:E,5,)</f>
        <v>LOC XXX RUM</v>
      </c>
      <c r="F507" t="s">
        <v>5</v>
      </c>
      <c r="G507" s="3">
        <v>249.92</v>
      </c>
      <c r="H507" s="1">
        <v>280</v>
      </c>
    </row>
    <row r="508" spans="1:8" x14ac:dyDescent="0.35">
      <c r="A508" s="2" t="s">
        <v>636</v>
      </c>
      <c r="B508" s="2" t="s">
        <v>369</v>
      </c>
      <c r="C508" s="3">
        <v>489.83</v>
      </c>
      <c r="D508" s="1">
        <v>550</v>
      </c>
      <c r="E508" t="str">
        <f>VLOOKUP(A508,Sheet2!A:E,5,)</f>
        <v>LOC XXX RUM</v>
      </c>
      <c r="F508" t="s">
        <v>4</v>
      </c>
      <c r="G508" s="3">
        <v>489.83</v>
      </c>
      <c r="H508" s="1">
        <v>550</v>
      </c>
    </row>
    <row r="509" spans="1:8" x14ac:dyDescent="0.35">
      <c r="A509" s="2" t="s">
        <v>637</v>
      </c>
      <c r="B509" s="2" t="s">
        <v>368</v>
      </c>
      <c r="C509" s="3">
        <v>130.84</v>
      </c>
      <c r="D509" s="1">
        <v>150</v>
      </c>
      <c r="E509" t="str">
        <f>VLOOKUP(A509,Sheet2!A:E,5,)</f>
        <v>LONDON GREEN APPLE</v>
      </c>
      <c r="F509" t="s">
        <v>374</v>
      </c>
      <c r="G509" s="3">
        <v>130.84</v>
      </c>
      <c r="H509" s="1">
        <v>150</v>
      </c>
    </row>
    <row r="510" spans="1:8" x14ac:dyDescent="0.35">
      <c r="A510" s="2" t="s">
        <v>637</v>
      </c>
      <c r="B510" s="2" t="s">
        <v>370</v>
      </c>
      <c r="C510" s="3">
        <v>269.70999999999998</v>
      </c>
      <c r="D510" s="1">
        <v>310</v>
      </c>
      <c r="E510" t="str">
        <f>VLOOKUP(A510,Sheet2!A:E,5,)</f>
        <v>LONDON GREEN APPLE</v>
      </c>
      <c r="F510" t="s">
        <v>5</v>
      </c>
      <c r="G510" s="3">
        <v>269.70999999999998</v>
      </c>
      <c r="H510" s="1">
        <v>310</v>
      </c>
    </row>
    <row r="511" spans="1:8" x14ac:dyDescent="0.35">
      <c r="A511" s="2" t="s">
        <v>637</v>
      </c>
      <c r="B511" s="2" t="s">
        <v>369</v>
      </c>
      <c r="C511" s="3">
        <v>517.48</v>
      </c>
      <c r="D511" s="1">
        <v>580</v>
      </c>
      <c r="E511" t="str">
        <f>VLOOKUP(A511,Sheet2!A:E,5,)</f>
        <v>LONDON GREEN APPLE</v>
      </c>
      <c r="F511" t="s">
        <v>4</v>
      </c>
      <c r="G511" s="3">
        <v>517.48</v>
      </c>
      <c r="H511" s="1">
        <v>580</v>
      </c>
    </row>
    <row r="512" spans="1:8" x14ac:dyDescent="0.35">
      <c r="A512" s="2" t="s">
        <v>638</v>
      </c>
      <c r="B512" s="2" t="s">
        <v>372</v>
      </c>
      <c r="C512" s="3">
        <v>139.63999999999999</v>
      </c>
      <c r="D512" s="1">
        <v>160</v>
      </c>
      <c r="E512" t="str">
        <f>VLOOKUP(A512,Sheet2!A:E,5,)</f>
        <v>LONDON HIGH RICH APPLE VODKA</v>
      </c>
      <c r="F512" t="s">
        <v>374</v>
      </c>
      <c r="G512" s="3">
        <v>139.63999999999999</v>
      </c>
      <c r="H512" s="1">
        <v>160</v>
      </c>
    </row>
    <row r="513" spans="1:8" x14ac:dyDescent="0.35">
      <c r="A513" s="2" t="s">
        <v>639</v>
      </c>
      <c r="B513" s="2" t="s">
        <v>370</v>
      </c>
      <c r="C513" s="3">
        <v>278.02</v>
      </c>
      <c r="D513" s="1">
        <v>320</v>
      </c>
      <c r="E513" t="str">
        <f>VLOOKUP(A513,Sheet2!A:E,5,)</f>
        <v>LONDON HIGH RICH APPLE VODKA</v>
      </c>
      <c r="F513" t="s">
        <v>5</v>
      </c>
      <c r="G513" s="3">
        <v>278.02</v>
      </c>
      <c r="H513" s="1">
        <v>320</v>
      </c>
    </row>
    <row r="514" spans="1:8" x14ac:dyDescent="0.35">
      <c r="A514" s="2" t="s">
        <v>640</v>
      </c>
      <c r="B514" s="2" t="s">
        <v>369</v>
      </c>
      <c r="C514" s="3">
        <v>535.39</v>
      </c>
      <c r="D514" s="1">
        <v>600</v>
      </c>
      <c r="E514" t="str">
        <f>VLOOKUP(A514,Sheet2!A:E,5,)</f>
        <v>LONDON HIGH RICH APPLE VODKA</v>
      </c>
      <c r="F514" t="s">
        <v>4</v>
      </c>
      <c r="G514" s="3">
        <v>535.39</v>
      </c>
      <c r="H514" s="1">
        <v>600</v>
      </c>
    </row>
    <row r="515" spans="1:8" x14ac:dyDescent="0.35">
      <c r="A515" s="2" t="s">
        <v>641</v>
      </c>
      <c r="B515" s="2" t="s">
        <v>368</v>
      </c>
      <c r="C515" s="3">
        <v>129.84</v>
      </c>
      <c r="D515" s="1">
        <v>150</v>
      </c>
      <c r="E515" t="str">
        <f>VLOOKUP(A515,Sheet2!A:E,5,)</f>
        <v>LONDON HIGH RICH VODKA</v>
      </c>
      <c r="F515" t="s">
        <v>374</v>
      </c>
      <c r="G515" s="3">
        <v>129.84</v>
      </c>
      <c r="H515" s="1">
        <v>150</v>
      </c>
    </row>
    <row r="516" spans="1:8" x14ac:dyDescent="0.35">
      <c r="A516" s="2" t="s">
        <v>180</v>
      </c>
      <c r="B516" s="2" t="s">
        <v>370</v>
      </c>
      <c r="C516" s="3">
        <v>268.20999999999998</v>
      </c>
      <c r="D516" s="1">
        <v>310</v>
      </c>
      <c r="E516" t="str">
        <f>VLOOKUP(A516,Sheet2!A:E,5,)</f>
        <v>LONDON HIGH RICH VODKA</v>
      </c>
      <c r="F516" t="s">
        <v>5</v>
      </c>
      <c r="G516" s="3">
        <v>268.20999999999998</v>
      </c>
      <c r="H516" s="1">
        <v>310</v>
      </c>
    </row>
    <row r="517" spans="1:8" x14ac:dyDescent="0.35">
      <c r="A517" s="2" t="s">
        <v>641</v>
      </c>
      <c r="B517" s="2" t="s">
        <v>369</v>
      </c>
      <c r="C517" s="3">
        <v>518.25</v>
      </c>
      <c r="D517" s="1">
        <v>590</v>
      </c>
      <c r="E517" t="str">
        <f>VLOOKUP(A517,Sheet2!A:E,5,)</f>
        <v>LONDON HIGH RICH VODKA</v>
      </c>
      <c r="F517" t="s">
        <v>4</v>
      </c>
      <c r="G517" s="3">
        <v>518.25</v>
      </c>
      <c r="H517" s="1">
        <v>590</v>
      </c>
    </row>
    <row r="518" spans="1:8" x14ac:dyDescent="0.35">
      <c r="A518" s="2" t="s">
        <v>181</v>
      </c>
      <c r="B518" s="2" t="s">
        <v>368</v>
      </c>
      <c r="C518" s="3">
        <v>122.46</v>
      </c>
      <c r="D518" s="1">
        <v>140</v>
      </c>
      <c r="E518" t="str">
        <f>VLOOKUP(A518,Sheet2!A:E,5,)</f>
        <v>LONDON HIGH VODKA</v>
      </c>
      <c r="F518" t="s">
        <v>374</v>
      </c>
      <c r="G518" s="3">
        <v>122.46</v>
      </c>
      <c r="H518" s="1">
        <v>140</v>
      </c>
    </row>
    <row r="519" spans="1:8" x14ac:dyDescent="0.35">
      <c r="A519" s="2" t="s">
        <v>642</v>
      </c>
      <c r="B519" s="2" t="s">
        <v>370</v>
      </c>
      <c r="C519" s="3">
        <v>251.58</v>
      </c>
      <c r="D519" s="1">
        <v>290</v>
      </c>
      <c r="E519" t="str">
        <f>VLOOKUP(A519,Sheet2!A:E,5,)</f>
        <v>LONDON HIGH VODKA</v>
      </c>
      <c r="F519" t="s">
        <v>5</v>
      </c>
      <c r="G519" s="3">
        <v>251.58</v>
      </c>
      <c r="H519" s="1">
        <v>290</v>
      </c>
    </row>
    <row r="520" spans="1:8" x14ac:dyDescent="0.35">
      <c r="A520" s="2" t="s">
        <v>642</v>
      </c>
      <c r="B520" s="2" t="s">
        <v>369</v>
      </c>
      <c r="C520" s="3">
        <v>481.81</v>
      </c>
      <c r="D520" s="1">
        <v>540</v>
      </c>
      <c r="E520" t="str">
        <f>VLOOKUP(A520,Sheet2!A:E,5,)</f>
        <v>LONDON HIGH VODKA</v>
      </c>
      <c r="F520" t="s">
        <v>4</v>
      </c>
      <c r="G520" s="3">
        <v>481.81</v>
      </c>
      <c r="H520" s="1">
        <v>540</v>
      </c>
    </row>
    <row r="521" spans="1:8" x14ac:dyDescent="0.35">
      <c r="A521" s="2" t="s">
        <v>182</v>
      </c>
      <c r="B521" s="2" t="s">
        <v>369</v>
      </c>
      <c r="C521" s="3">
        <v>4392.3100000000004</v>
      </c>
      <c r="D521" s="1">
        <v>4920</v>
      </c>
      <c r="E521" t="str">
        <f>VLOOKUP(A521,Sheet2!A:E,5,)</f>
        <v>LONGITUDE 77</v>
      </c>
      <c r="F521" t="s">
        <v>4</v>
      </c>
      <c r="G521" s="3">
        <v>4392.3100000000004</v>
      </c>
      <c r="H521" s="1">
        <v>4920</v>
      </c>
    </row>
    <row r="522" spans="1:8" x14ac:dyDescent="0.35">
      <c r="A522" s="2" t="s">
        <v>183</v>
      </c>
      <c r="B522" s="2" t="s">
        <v>367</v>
      </c>
      <c r="C522" s="3">
        <v>1625.16</v>
      </c>
      <c r="D522" s="1">
        <v>1830</v>
      </c>
      <c r="E522" t="str">
        <f>VLOOKUP(A522,Sheet2!A:E,5,)</f>
        <v>LUCIFRES GOLD</v>
      </c>
      <c r="F522" t="s">
        <v>4</v>
      </c>
      <c r="G522" s="3">
        <v>1625.16</v>
      </c>
      <c r="H522" s="1">
        <v>1830</v>
      </c>
    </row>
    <row r="523" spans="1:8" x14ac:dyDescent="0.35">
      <c r="A523" s="2" t="s">
        <v>643</v>
      </c>
      <c r="B523" s="2" t="s">
        <v>368</v>
      </c>
      <c r="C523" s="3">
        <v>253.56</v>
      </c>
      <c r="D523" s="1">
        <v>290</v>
      </c>
      <c r="E523" t="str">
        <f>VLOOKUP(A523,Sheet2!A:E,5,)</f>
        <v>M2 DAZZLE VANILLA VODKA</v>
      </c>
      <c r="F523" t="s">
        <v>374</v>
      </c>
      <c r="G523" s="3">
        <v>253.56</v>
      </c>
      <c r="H523" s="1">
        <v>290</v>
      </c>
    </row>
    <row r="524" spans="1:8" x14ac:dyDescent="0.35">
      <c r="A524" s="2" t="s">
        <v>644</v>
      </c>
      <c r="B524" s="2" t="s">
        <v>369</v>
      </c>
      <c r="C524" s="3">
        <v>999.83</v>
      </c>
      <c r="D524" s="1">
        <v>1120</v>
      </c>
      <c r="E524" t="str">
        <f>VLOOKUP(A524,Sheet2!A:E,5,)</f>
        <v>M2 DAZZLE VANILLA VODKA</v>
      </c>
      <c r="F524" t="s">
        <v>4</v>
      </c>
      <c r="G524" s="3">
        <v>999.83</v>
      </c>
      <c r="H524" s="1">
        <v>1120</v>
      </c>
    </row>
    <row r="525" spans="1:8" x14ac:dyDescent="0.35">
      <c r="A525" s="2" t="s">
        <v>645</v>
      </c>
      <c r="B525" s="2" t="s">
        <v>369</v>
      </c>
      <c r="C525" s="3">
        <v>546.71</v>
      </c>
      <c r="D525" s="1">
        <v>620</v>
      </c>
      <c r="E525" t="str">
        <f>VLOOKUP(A525,Sheet2!A:E,5,)</f>
        <v>MADERA NASHIK VALLEY RED WINE</v>
      </c>
      <c r="F525" t="s">
        <v>4</v>
      </c>
      <c r="G525" s="3">
        <v>546.71</v>
      </c>
      <c r="H525" s="1">
        <v>620</v>
      </c>
    </row>
    <row r="526" spans="1:8" x14ac:dyDescent="0.35">
      <c r="A526" s="2" t="s">
        <v>646</v>
      </c>
      <c r="B526" s="2" t="s">
        <v>369</v>
      </c>
      <c r="C526" s="3">
        <v>990.03</v>
      </c>
      <c r="D526" s="1">
        <v>1110</v>
      </c>
      <c r="E526" t="str">
        <f>VLOOKUP(A526,Sheet2!A:E,5,)</f>
        <v>MAQINTOSH SILVER EDITION WHISHKY</v>
      </c>
      <c r="F526" t="s">
        <v>4</v>
      </c>
      <c r="G526" s="3">
        <v>990.03</v>
      </c>
      <c r="H526" s="1">
        <v>1110</v>
      </c>
    </row>
    <row r="527" spans="1:8" x14ac:dyDescent="0.35">
      <c r="A527" s="2" t="s">
        <v>184</v>
      </c>
      <c r="B527" s="2" t="s">
        <v>367</v>
      </c>
      <c r="C527" s="3">
        <v>3126.81</v>
      </c>
      <c r="D527" s="1">
        <v>3510</v>
      </c>
      <c r="E527" t="str">
        <f>VLOOKUP(A527,Sheet2!A:E,5,)</f>
        <v>MARTELL VS COGNAC</v>
      </c>
      <c r="F527" t="s">
        <v>4</v>
      </c>
      <c r="G527" s="3">
        <v>3126.81</v>
      </c>
      <c r="H527" s="1">
        <v>3510</v>
      </c>
    </row>
    <row r="528" spans="1:8" x14ac:dyDescent="0.35">
      <c r="A528" s="2" t="s">
        <v>647</v>
      </c>
      <c r="B528" s="2" t="s">
        <v>369</v>
      </c>
      <c r="C528" s="3">
        <v>2064.4</v>
      </c>
      <c r="D528" s="1">
        <v>2320</v>
      </c>
      <c r="E528" t="str">
        <f>VLOOKUP(A528,Sheet2!A:E,5,)</f>
        <v>MATEUS ROSE</v>
      </c>
      <c r="F528" t="s">
        <v>4</v>
      </c>
      <c r="G528" s="3">
        <v>2064.4</v>
      </c>
      <c r="H528" s="1">
        <v>2320</v>
      </c>
    </row>
    <row r="529" spans="1:8" x14ac:dyDescent="0.35">
      <c r="A529" s="2" t="s">
        <v>648</v>
      </c>
      <c r="B529" s="2" t="s">
        <v>368</v>
      </c>
      <c r="C529" s="3">
        <v>158.5</v>
      </c>
      <c r="D529" s="1">
        <v>180</v>
      </c>
      <c r="E529" t="str">
        <f>VLOOKUP(A529,Sheet2!A:E,5,)</f>
        <v>MATSYA TRIPLE RESERVE</v>
      </c>
      <c r="F529" t="s">
        <v>374</v>
      </c>
      <c r="G529" s="3">
        <v>158.5</v>
      </c>
      <c r="H529" s="1">
        <v>180</v>
      </c>
    </row>
    <row r="530" spans="1:8" x14ac:dyDescent="0.35">
      <c r="A530" s="2" t="s">
        <v>649</v>
      </c>
      <c r="B530" s="2" t="s">
        <v>370</v>
      </c>
      <c r="C530" s="3">
        <v>305.2</v>
      </c>
      <c r="D530" s="1">
        <v>350</v>
      </c>
      <c r="E530" t="str">
        <f>VLOOKUP(A530,Sheet2!A:E,5,)</f>
        <v>MATSYA TRIPLE RESERVE</v>
      </c>
      <c r="F530" t="s">
        <v>5</v>
      </c>
      <c r="G530" s="3">
        <v>305.2</v>
      </c>
      <c r="H530" s="1">
        <v>350</v>
      </c>
    </row>
    <row r="531" spans="1:8" x14ac:dyDescent="0.35">
      <c r="A531" s="2" t="s">
        <v>648</v>
      </c>
      <c r="B531" s="2" t="s">
        <v>369</v>
      </c>
      <c r="C531" s="3">
        <v>600.4</v>
      </c>
      <c r="D531" s="1">
        <v>680</v>
      </c>
      <c r="E531" t="str">
        <f>VLOOKUP(A531,Sheet2!A:E,5,)</f>
        <v>MATSYA TRIPLE RESERVE</v>
      </c>
      <c r="F531" t="s">
        <v>4</v>
      </c>
      <c r="G531" s="3">
        <v>600.4</v>
      </c>
      <c r="H531" s="1">
        <v>680</v>
      </c>
    </row>
    <row r="532" spans="1:8" x14ac:dyDescent="0.35">
      <c r="A532" s="2" t="s">
        <v>650</v>
      </c>
      <c r="B532" s="2" t="s">
        <v>368</v>
      </c>
      <c r="C532" s="3">
        <v>129.84</v>
      </c>
      <c r="D532" s="1">
        <v>150</v>
      </c>
      <c r="E532" t="str">
        <f>VLOOKUP(A532,Sheet2!A:E,5,)</f>
        <v>MCD NO.1 LUXURY</v>
      </c>
      <c r="F532" t="s">
        <v>374</v>
      </c>
      <c r="G532" s="3">
        <v>129.84</v>
      </c>
      <c r="H532" s="1">
        <v>150</v>
      </c>
    </row>
    <row r="533" spans="1:8" x14ac:dyDescent="0.35">
      <c r="A533" s="2" t="s">
        <v>650</v>
      </c>
      <c r="B533" s="2" t="s">
        <v>370</v>
      </c>
      <c r="C533" s="3">
        <v>268</v>
      </c>
      <c r="D533" s="1">
        <v>310</v>
      </c>
      <c r="E533" t="str">
        <f>VLOOKUP(A533,Sheet2!A:E,5,)</f>
        <v>MCD NO.1 LUXURY</v>
      </c>
      <c r="F533" t="s">
        <v>5</v>
      </c>
      <c r="G533" s="3">
        <v>268</v>
      </c>
      <c r="H533" s="1">
        <v>310</v>
      </c>
    </row>
    <row r="534" spans="1:8" x14ac:dyDescent="0.35">
      <c r="A534" s="2" t="s">
        <v>650</v>
      </c>
      <c r="B534" s="2" t="s">
        <v>369</v>
      </c>
      <c r="C534" s="3">
        <v>520.95000000000005</v>
      </c>
      <c r="D534" s="1">
        <v>590</v>
      </c>
      <c r="E534" t="str">
        <f>VLOOKUP(A534,Sheet2!A:E,5,)</f>
        <v>MCD NO.1 LUXURY</v>
      </c>
      <c r="F534" t="s">
        <v>4</v>
      </c>
      <c r="G534" s="3">
        <v>520.95000000000005</v>
      </c>
      <c r="H534" s="1">
        <v>590</v>
      </c>
    </row>
    <row r="535" spans="1:8" x14ac:dyDescent="0.35">
      <c r="A535" s="2" t="s">
        <v>185</v>
      </c>
      <c r="B535" s="2" t="s">
        <v>368</v>
      </c>
      <c r="C535" s="3">
        <v>129.76</v>
      </c>
      <c r="D535" s="1">
        <v>150</v>
      </c>
      <c r="E535" t="str">
        <f>VLOOKUP(A535,Sheet2!A:E,5,)</f>
        <v>MCDOWELL'S NO.-1 SUPERIOR WHISKY</v>
      </c>
      <c r="F535" t="s">
        <v>374</v>
      </c>
      <c r="G535" s="3">
        <v>129.76</v>
      </c>
      <c r="H535" s="1">
        <v>150</v>
      </c>
    </row>
    <row r="536" spans="1:8" x14ac:dyDescent="0.35">
      <c r="A536" s="2" t="s">
        <v>186</v>
      </c>
      <c r="B536" s="2" t="s">
        <v>370</v>
      </c>
      <c r="C536" s="3">
        <v>267.74</v>
      </c>
      <c r="D536" s="1">
        <v>300</v>
      </c>
      <c r="E536" t="str">
        <f>VLOOKUP(A536,Sheet2!A:E,5,)</f>
        <v>MCDOWELL'S NO.-1 SUPERIOR WHISKY</v>
      </c>
      <c r="F536" t="s">
        <v>5</v>
      </c>
      <c r="G536" s="3">
        <v>267.74</v>
      </c>
      <c r="H536" s="1">
        <v>300</v>
      </c>
    </row>
    <row r="537" spans="1:8" x14ac:dyDescent="0.35">
      <c r="A537" s="2" t="s">
        <v>187</v>
      </c>
      <c r="B537" s="2" t="s">
        <v>369</v>
      </c>
      <c r="C537" s="3">
        <v>525.23</v>
      </c>
      <c r="D537" s="1">
        <v>590</v>
      </c>
      <c r="E537" t="str">
        <f>VLOOKUP(A537,Sheet2!A:E,5,)</f>
        <v>MCDOWELL'S NO.-1 SUPERIOR WHISKY</v>
      </c>
      <c r="F537" t="s">
        <v>4</v>
      </c>
      <c r="G537" s="3">
        <v>525.23</v>
      </c>
      <c r="H537" s="1">
        <v>590</v>
      </c>
    </row>
    <row r="538" spans="1:8" x14ac:dyDescent="0.35">
      <c r="A538" s="2" t="s">
        <v>651</v>
      </c>
      <c r="B538" s="2" t="s">
        <v>368</v>
      </c>
      <c r="C538" s="3">
        <v>186.41</v>
      </c>
      <c r="D538" s="1">
        <v>210</v>
      </c>
      <c r="E538" t="str">
        <f>VLOOKUP(A538,Sheet2!A:E,5,)</f>
        <v>MCDOWELL'S PREMIUM CITRON RUM</v>
      </c>
      <c r="F538" t="s">
        <v>374</v>
      </c>
      <c r="G538" s="3">
        <v>186.41</v>
      </c>
      <c r="H538" s="1">
        <v>210</v>
      </c>
    </row>
    <row r="539" spans="1:8" x14ac:dyDescent="0.35">
      <c r="A539" s="2" t="s">
        <v>652</v>
      </c>
      <c r="B539" s="2" t="s">
        <v>369</v>
      </c>
      <c r="C539" s="3">
        <v>732</v>
      </c>
      <c r="D539" s="1">
        <v>820</v>
      </c>
      <c r="E539" t="str">
        <f>VLOOKUP(A539,Sheet2!A:E,5,)</f>
        <v>MCDOWELL'S PREMIUM CITRON RUM</v>
      </c>
      <c r="F539" t="s">
        <v>4</v>
      </c>
      <c r="G539" s="3">
        <v>732</v>
      </c>
      <c r="H539" s="1">
        <v>820</v>
      </c>
    </row>
    <row r="540" spans="1:8" x14ac:dyDescent="0.35">
      <c r="A540" s="2" t="s">
        <v>653</v>
      </c>
      <c r="B540" s="2" t="s">
        <v>368</v>
      </c>
      <c r="C540" s="3">
        <v>162.41</v>
      </c>
      <c r="D540" s="1">
        <v>190</v>
      </c>
      <c r="E540" t="str">
        <f>VLOOKUP(A540,Sheet2!A:E,5,)</f>
        <v>MCDOWELL'S PREMIUM DARK RUM</v>
      </c>
      <c r="F540" t="s">
        <v>374</v>
      </c>
      <c r="G540" s="3">
        <v>162.41</v>
      </c>
      <c r="H540" s="1">
        <v>190</v>
      </c>
    </row>
    <row r="541" spans="1:8" x14ac:dyDescent="0.35">
      <c r="A541" s="2" t="s">
        <v>654</v>
      </c>
      <c r="B541" s="2" t="s">
        <v>369</v>
      </c>
      <c r="C541" s="3">
        <v>654.57000000000005</v>
      </c>
      <c r="D541" s="1">
        <v>740</v>
      </c>
      <c r="E541" t="str">
        <f>VLOOKUP(A541,Sheet2!A:E,5,)</f>
        <v>MCDOWELL'S PREMIUM DARK RUM</v>
      </c>
      <c r="F541" t="s">
        <v>4</v>
      </c>
      <c r="G541" s="3">
        <v>654.57000000000005</v>
      </c>
      <c r="H541" s="1">
        <v>740</v>
      </c>
    </row>
    <row r="542" spans="1:8" x14ac:dyDescent="0.35">
      <c r="A542" s="2" t="s">
        <v>188</v>
      </c>
      <c r="B542" s="2" t="s">
        <v>368</v>
      </c>
      <c r="C542" s="3">
        <v>168.11</v>
      </c>
      <c r="D542" s="1">
        <v>190</v>
      </c>
      <c r="E542" t="str">
        <f>VLOOKUP(A542,Sheet2!A:E,5,)</f>
        <v>MCDOWELL'S PREMIUM VODKA</v>
      </c>
      <c r="F542" t="s">
        <v>374</v>
      </c>
      <c r="G542" s="3">
        <v>168.11</v>
      </c>
      <c r="H542" s="1">
        <v>190</v>
      </c>
    </row>
    <row r="543" spans="1:8" x14ac:dyDescent="0.35">
      <c r="A543" s="2" t="s">
        <v>189</v>
      </c>
      <c r="B543" s="2" t="s">
        <v>369</v>
      </c>
      <c r="C543" s="3">
        <v>636.17999999999995</v>
      </c>
      <c r="D543" s="1">
        <v>720</v>
      </c>
      <c r="E543" t="str">
        <f>VLOOKUP(A543,Sheet2!A:E,5,)</f>
        <v>MCDOWELL'S PREMIUM VODKA</v>
      </c>
      <c r="F543" t="s">
        <v>4</v>
      </c>
      <c r="G543" s="3">
        <v>636.17999999999995</v>
      </c>
      <c r="H543" s="1">
        <v>720</v>
      </c>
    </row>
    <row r="544" spans="1:8" x14ac:dyDescent="0.35">
      <c r="A544" s="2" t="s">
        <v>190</v>
      </c>
      <c r="B544" s="2" t="s">
        <v>368</v>
      </c>
      <c r="C544" s="3">
        <v>178.82</v>
      </c>
      <c r="D544" s="1">
        <v>210</v>
      </c>
      <c r="E544" t="str">
        <f>VLOOKUP(A544,Sheet2!A:E,5,)</f>
        <v>MCDOWELLS PRE FLAVOUR VODKA</v>
      </c>
      <c r="F544" t="s">
        <v>374</v>
      </c>
      <c r="G544" s="3">
        <v>178.82</v>
      </c>
      <c r="H544" s="1">
        <v>210</v>
      </c>
    </row>
    <row r="545" spans="1:8" x14ac:dyDescent="0.35">
      <c r="A545" s="2" t="s">
        <v>655</v>
      </c>
      <c r="B545" s="2" t="s">
        <v>369</v>
      </c>
      <c r="C545" s="3">
        <v>687.33</v>
      </c>
      <c r="D545" s="1">
        <v>770</v>
      </c>
      <c r="E545" t="str">
        <f>VLOOKUP(A545,Sheet2!A:E,5,)</f>
        <v>MCDOWELLS PRE FLAVOUR VODKA</v>
      </c>
      <c r="F545" t="s">
        <v>4</v>
      </c>
      <c r="G545" s="3">
        <v>687.33</v>
      </c>
      <c r="H545" s="1">
        <v>770</v>
      </c>
    </row>
    <row r="546" spans="1:8" x14ac:dyDescent="0.35">
      <c r="A546" s="2" t="s">
        <v>656</v>
      </c>
      <c r="B546" s="2" t="s">
        <v>368</v>
      </c>
      <c r="C546" s="3">
        <v>215.17</v>
      </c>
      <c r="D546" s="1">
        <v>250</v>
      </c>
      <c r="E546" t="str">
        <f>VLOOKUP(A546,Sheet2!A:E,5,)</f>
        <v>MCDOWELLS PREMIUM DRY GIN</v>
      </c>
      <c r="F546" t="s">
        <v>374</v>
      </c>
      <c r="G546" s="3">
        <v>215.17</v>
      </c>
      <c r="H546" s="1">
        <v>250</v>
      </c>
    </row>
    <row r="547" spans="1:8" x14ac:dyDescent="0.35">
      <c r="A547" s="2" t="s">
        <v>657</v>
      </c>
      <c r="B547" s="2" t="s">
        <v>369</v>
      </c>
      <c r="C547" s="3">
        <v>828.62</v>
      </c>
      <c r="D547" s="1">
        <v>930</v>
      </c>
      <c r="E547" t="str">
        <f>VLOOKUP(A547,Sheet2!A:E,5,)</f>
        <v>MCDOWELLS PREMIUM DRY GIN</v>
      </c>
      <c r="F547" t="s">
        <v>4</v>
      </c>
      <c r="G547" s="3">
        <v>828.62</v>
      </c>
      <c r="H547" s="1">
        <v>930</v>
      </c>
    </row>
    <row r="548" spans="1:8" x14ac:dyDescent="0.35">
      <c r="A548" s="2" t="s">
        <v>191</v>
      </c>
      <c r="B548" s="2" t="s">
        <v>370</v>
      </c>
      <c r="C548" s="3">
        <v>4927.8999999999996</v>
      </c>
      <c r="D548" s="1">
        <v>5520</v>
      </c>
      <c r="E548" t="str">
        <f>VLOOKUP(A548,Sheet2!A:E,5,)</f>
        <v>MEUKOW LIQUEUR VANILLA</v>
      </c>
      <c r="F548" t="s">
        <v>5</v>
      </c>
      <c r="G548" s="3">
        <v>4927.8999999999996</v>
      </c>
      <c r="H548" s="1">
        <v>5520</v>
      </c>
    </row>
    <row r="549" spans="1:8" x14ac:dyDescent="0.35">
      <c r="A549" s="2" t="s">
        <v>658</v>
      </c>
      <c r="B549" s="2" t="s">
        <v>368</v>
      </c>
      <c r="C549" s="3">
        <v>158.28</v>
      </c>
      <c r="D549" s="1">
        <v>180</v>
      </c>
      <c r="E549" t="str">
        <f>VLOOKUP(A549,Sheet2!A:E,5,)</f>
        <v>M M JAMUN VODKA</v>
      </c>
      <c r="F549" t="s">
        <v>374</v>
      </c>
      <c r="G549" s="3">
        <v>158.28</v>
      </c>
      <c r="H549" s="1">
        <v>180</v>
      </c>
    </row>
    <row r="550" spans="1:8" x14ac:dyDescent="0.35">
      <c r="A550" s="2" t="s">
        <v>658</v>
      </c>
      <c r="B550" s="2" t="s">
        <v>370</v>
      </c>
      <c r="C550" s="3">
        <v>314.74</v>
      </c>
      <c r="D550" s="1">
        <v>360</v>
      </c>
      <c r="E550" t="str">
        <f>VLOOKUP(A550,Sheet2!A:E,5,)</f>
        <v>M M JAMUN VODKA</v>
      </c>
      <c r="F550" t="s">
        <v>5</v>
      </c>
      <c r="G550" s="3">
        <v>314.74</v>
      </c>
      <c r="H550" s="1">
        <v>360</v>
      </c>
    </row>
    <row r="551" spans="1:8" x14ac:dyDescent="0.35">
      <c r="A551" s="2" t="s">
        <v>658</v>
      </c>
      <c r="B551" s="2" t="s">
        <v>369</v>
      </c>
      <c r="C551" s="3">
        <v>619.48</v>
      </c>
      <c r="D551" s="1">
        <v>700</v>
      </c>
      <c r="E551" t="str">
        <f>VLOOKUP(A551,Sheet2!A:E,5,)</f>
        <v>M M JAMUN VODKA</v>
      </c>
      <c r="F551" t="s">
        <v>4</v>
      </c>
      <c r="G551" s="3">
        <v>619.48</v>
      </c>
      <c r="H551" s="1">
        <v>700</v>
      </c>
    </row>
    <row r="552" spans="1:8" x14ac:dyDescent="0.35">
      <c r="A552" s="2" t="s">
        <v>192</v>
      </c>
      <c r="B552" s="2" t="s">
        <v>368</v>
      </c>
      <c r="C552" s="3">
        <v>168.19</v>
      </c>
      <c r="D552" s="1">
        <v>190</v>
      </c>
      <c r="E552" t="str">
        <f>VLOOKUP(A552,Sheet2!A:E,5,)</f>
        <v>M M VERVE VODKA</v>
      </c>
      <c r="F552" t="s">
        <v>374</v>
      </c>
      <c r="G552" s="3">
        <v>168.19</v>
      </c>
      <c r="H552" s="1">
        <v>190</v>
      </c>
    </row>
    <row r="553" spans="1:8" x14ac:dyDescent="0.35">
      <c r="A553" s="2" t="s">
        <v>193</v>
      </c>
      <c r="B553" s="2" t="s">
        <v>370</v>
      </c>
      <c r="C553" s="3">
        <v>324.87</v>
      </c>
      <c r="D553" s="1">
        <v>370</v>
      </c>
      <c r="E553" t="str">
        <f>VLOOKUP(A553,Sheet2!A:E,5,)</f>
        <v>M M VERVE VODKA</v>
      </c>
      <c r="F553" t="s">
        <v>5</v>
      </c>
      <c r="G553" s="3">
        <v>324.87</v>
      </c>
      <c r="H553" s="1">
        <v>370</v>
      </c>
    </row>
    <row r="554" spans="1:8" x14ac:dyDescent="0.35">
      <c r="A554" s="2" t="s">
        <v>194</v>
      </c>
      <c r="B554" s="2" t="s">
        <v>369</v>
      </c>
      <c r="C554" s="3">
        <v>628.32000000000005</v>
      </c>
      <c r="D554" s="1">
        <v>710</v>
      </c>
      <c r="E554" t="str">
        <f>VLOOKUP(A554,Sheet2!A:E,5,)</f>
        <v>M M VERVE VODKA</v>
      </c>
      <c r="F554" t="s">
        <v>4</v>
      </c>
      <c r="G554" s="3">
        <v>628.32000000000005</v>
      </c>
      <c r="H554" s="1">
        <v>710</v>
      </c>
    </row>
    <row r="555" spans="1:8" x14ac:dyDescent="0.35">
      <c r="A555" s="2" t="s">
        <v>195</v>
      </c>
      <c r="B555" s="2" t="s">
        <v>368</v>
      </c>
      <c r="C555" s="3">
        <v>177.66</v>
      </c>
      <c r="D555" s="1">
        <v>200</v>
      </c>
      <c r="E555" t="str">
        <f>VLOOKUP(A555,Sheet2!A:E,5,)</f>
        <v>M M VERVE VODKA APPLE/ORANCE</v>
      </c>
      <c r="F555" t="s">
        <v>374</v>
      </c>
      <c r="G555" s="3">
        <v>177.66</v>
      </c>
      <c r="H555" s="1">
        <v>200</v>
      </c>
    </row>
    <row r="556" spans="1:8" x14ac:dyDescent="0.35">
      <c r="A556" s="2" t="s">
        <v>196</v>
      </c>
      <c r="B556" s="2" t="s">
        <v>370</v>
      </c>
      <c r="C556" s="3">
        <v>343.57</v>
      </c>
      <c r="D556" s="1">
        <v>390</v>
      </c>
      <c r="E556" t="str">
        <f>VLOOKUP(A556,Sheet2!A:E,5,)</f>
        <v>M M VERVE VODKA APPLE/ORANCE</v>
      </c>
      <c r="F556" t="s">
        <v>5</v>
      </c>
      <c r="G556" s="3">
        <v>343.57</v>
      </c>
      <c r="H556" s="1">
        <v>390</v>
      </c>
    </row>
    <row r="557" spans="1:8" x14ac:dyDescent="0.35">
      <c r="A557" s="2" t="s">
        <v>197</v>
      </c>
      <c r="B557" s="2" t="s">
        <v>369</v>
      </c>
      <c r="C557" s="3">
        <v>666.82</v>
      </c>
      <c r="D557" s="1">
        <v>750</v>
      </c>
      <c r="E557" t="str">
        <f>VLOOKUP(A557,Sheet2!A:E,5,)</f>
        <v>M M VERVE VODKA APPLE/ORANCE</v>
      </c>
      <c r="F557" t="s">
        <v>4</v>
      </c>
      <c r="G557" s="3">
        <v>666.82</v>
      </c>
      <c r="H557" s="1">
        <v>750</v>
      </c>
    </row>
    <row r="558" spans="1:8" x14ac:dyDescent="0.35">
      <c r="A558" s="2" t="s">
        <v>198</v>
      </c>
      <c r="B558" s="2" t="s">
        <v>368</v>
      </c>
      <c r="C558" s="3">
        <v>129.97999999999999</v>
      </c>
      <c r="D558" s="1">
        <v>150</v>
      </c>
      <c r="E558" t="str">
        <f>VLOOKUP(A558,Sheet2!A:E,5,)</f>
        <v>M M VODKA</v>
      </c>
      <c r="F558" t="s">
        <v>374</v>
      </c>
      <c r="G558" s="3">
        <v>129.97999999999999</v>
      </c>
      <c r="H558" s="1">
        <v>150</v>
      </c>
    </row>
    <row r="559" spans="1:8" x14ac:dyDescent="0.35">
      <c r="A559" s="2" t="s">
        <v>199</v>
      </c>
      <c r="B559" s="2" t="s">
        <v>370</v>
      </c>
      <c r="C559" s="3">
        <v>268.27</v>
      </c>
      <c r="D559" s="1">
        <v>310</v>
      </c>
      <c r="E559" t="str">
        <f>VLOOKUP(A559,Sheet2!A:E,5,)</f>
        <v>M M VODKA</v>
      </c>
      <c r="F559" t="s">
        <v>5</v>
      </c>
      <c r="G559" s="3">
        <v>268.27</v>
      </c>
      <c r="H559" s="1">
        <v>310</v>
      </c>
    </row>
    <row r="560" spans="1:8" x14ac:dyDescent="0.35">
      <c r="A560" s="2" t="s">
        <v>200</v>
      </c>
      <c r="B560" s="2" t="s">
        <v>369</v>
      </c>
      <c r="C560" s="3">
        <v>516.42999999999995</v>
      </c>
      <c r="D560" s="1">
        <v>580</v>
      </c>
      <c r="E560" t="str">
        <f>VLOOKUP(A560,Sheet2!A:E,5,)</f>
        <v>M M VODKA</v>
      </c>
      <c r="F560" t="s">
        <v>4</v>
      </c>
      <c r="G560" s="3">
        <v>516.42999999999995</v>
      </c>
      <c r="H560" s="1">
        <v>580</v>
      </c>
    </row>
    <row r="561" spans="1:8" x14ac:dyDescent="0.35">
      <c r="A561" s="2" t="s">
        <v>201</v>
      </c>
      <c r="B561" s="2" t="s">
        <v>368</v>
      </c>
      <c r="C561" s="3">
        <v>148.80000000000001</v>
      </c>
      <c r="D561" s="1">
        <v>170</v>
      </c>
      <c r="E561" t="str">
        <f>VLOOKUP(A561,Sheet2!A:E,5,)</f>
        <v>M M VODKA APPLE/ORANCE</v>
      </c>
      <c r="F561" t="s">
        <v>374</v>
      </c>
      <c r="G561" s="3">
        <v>148.80000000000001</v>
      </c>
      <c r="H561" s="1">
        <v>170</v>
      </c>
    </row>
    <row r="562" spans="1:8" x14ac:dyDescent="0.35">
      <c r="A562" s="2" t="s">
        <v>202</v>
      </c>
      <c r="B562" s="2" t="s">
        <v>370</v>
      </c>
      <c r="C562" s="3">
        <v>295.87</v>
      </c>
      <c r="D562" s="1">
        <v>340</v>
      </c>
      <c r="E562" t="str">
        <f>VLOOKUP(A562,Sheet2!A:E,5,)</f>
        <v>M M VODKA APPLE/ORANCE</v>
      </c>
      <c r="F562" t="s">
        <v>5</v>
      </c>
      <c r="G562" s="3">
        <v>295.87</v>
      </c>
      <c r="H562" s="1">
        <v>340</v>
      </c>
    </row>
    <row r="563" spans="1:8" x14ac:dyDescent="0.35">
      <c r="A563" s="2" t="s">
        <v>203</v>
      </c>
      <c r="B563" s="2" t="s">
        <v>369</v>
      </c>
      <c r="C563" s="3">
        <v>582.09</v>
      </c>
      <c r="D563" s="1">
        <v>660</v>
      </c>
      <c r="E563" t="str">
        <f>VLOOKUP(A563,Sheet2!A:E,5,)</f>
        <v>M M VODKA APPLE/ORANCE</v>
      </c>
      <c r="F563" t="s">
        <v>4</v>
      </c>
      <c r="G563" s="3">
        <v>582.09</v>
      </c>
      <c r="H563" s="1">
        <v>660</v>
      </c>
    </row>
    <row r="564" spans="1:8" x14ac:dyDescent="0.35">
      <c r="A564" s="2" t="s">
        <v>204</v>
      </c>
      <c r="B564" s="2" t="s">
        <v>369</v>
      </c>
      <c r="C564" s="3">
        <v>6227</v>
      </c>
      <c r="D564" s="1">
        <v>6980</v>
      </c>
      <c r="E564" t="str">
        <f>VLOOKUP(A564,Sheet2!A:E,5,)</f>
        <v>MOET &amp; CHANDAN ROSE</v>
      </c>
      <c r="F564" t="s">
        <v>4</v>
      </c>
      <c r="G564" s="3">
        <v>6227</v>
      </c>
      <c r="H564" s="1">
        <v>6980</v>
      </c>
    </row>
    <row r="565" spans="1:8" x14ac:dyDescent="0.35">
      <c r="A565" s="2" t="s">
        <v>205</v>
      </c>
      <c r="B565" s="2" t="s">
        <v>369</v>
      </c>
      <c r="C565" s="3">
        <v>9477</v>
      </c>
      <c r="D565" s="1">
        <v>10620</v>
      </c>
      <c r="E565" t="str">
        <f>VLOOKUP(A565,Sheet2!A:E,5,)</f>
        <v>MOET &amp; CHANDON IMPERIAL BRUT</v>
      </c>
      <c r="F565" t="s">
        <v>4</v>
      </c>
      <c r="G565" s="3">
        <v>9477</v>
      </c>
      <c r="H565" s="1">
        <v>10620</v>
      </c>
    </row>
    <row r="566" spans="1:8" x14ac:dyDescent="0.35">
      <c r="A566" s="2" t="s">
        <v>659</v>
      </c>
      <c r="B566" s="2" t="s">
        <v>369</v>
      </c>
      <c r="C566" s="3">
        <v>10098.89</v>
      </c>
      <c r="D566" s="1">
        <v>11320</v>
      </c>
      <c r="E566" t="str">
        <f>VLOOKUP(A566,Sheet2!A:E,5,)</f>
        <v>MOET &amp; CHANDON ROSE IMPERIAL</v>
      </c>
      <c r="F566" t="s">
        <v>4</v>
      </c>
      <c r="G566" s="3">
        <v>10098.89</v>
      </c>
      <c r="H566" s="1">
        <v>11320</v>
      </c>
    </row>
    <row r="567" spans="1:8" x14ac:dyDescent="0.35">
      <c r="A567" s="2" t="s">
        <v>206</v>
      </c>
      <c r="B567" s="2" t="s">
        <v>370</v>
      </c>
      <c r="C567" s="3">
        <v>3328.11</v>
      </c>
      <c r="D567" s="1">
        <v>3730</v>
      </c>
      <c r="E567" t="str">
        <f>VLOOKUP(A567,Sheet2!A:E,5,)</f>
        <v>MONKEY 47 DRY GIN</v>
      </c>
      <c r="F567" t="s">
        <v>5</v>
      </c>
      <c r="G567" s="3">
        <v>3328.11</v>
      </c>
      <c r="H567" s="1">
        <v>3730</v>
      </c>
    </row>
    <row r="568" spans="1:8" x14ac:dyDescent="0.35">
      <c r="A568" s="2" t="s">
        <v>207</v>
      </c>
      <c r="B568" s="2" t="s">
        <v>367</v>
      </c>
      <c r="C568" s="3">
        <v>3180.38</v>
      </c>
      <c r="D568" s="1">
        <v>3570</v>
      </c>
      <c r="E568" t="str">
        <f>VLOOKUP(A568,Sheet2!A:E,5,)</f>
        <v>MONKEY SHOULDER</v>
      </c>
      <c r="F568" t="s">
        <v>4</v>
      </c>
      <c r="G568" s="3">
        <v>3180.38</v>
      </c>
      <c r="H568" s="1">
        <v>3570</v>
      </c>
    </row>
    <row r="569" spans="1:8" x14ac:dyDescent="0.35">
      <c r="A569" s="2" t="s">
        <v>660</v>
      </c>
      <c r="B569" s="2" t="s">
        <v>369</v>
      </c>
      <c r="C569" s="3">
        <v>1297.23</v>
      </c>
      <c r="D569" s="1">
        <v>1460</v>
      </c>
      <c r="E569" t="str">
        <f>VLOOKUP(A569,Sheet2!A:E,5,)</f>
        <v>MONTE PACIFICO MERLOT/ CHARDONNAY WINE</v>
      </c>
      <c r="F569" t="s">
        <v>4</v>
      </c>
      <c r="G569" s="3">
        <v>1297.23</v>
      </c>
      <c r="H569" s="1">
        <v>1460</v>
      </c>
    </row>
    <row r="570" spans="1:8" x14ac:dyDescent="0.35">
      <c r="A570" s="2" t="s">
        <v>661</v>
      </c>
      <c r="B570" s="2" t="s">
        <v>368</v>
      </c>
      <c r="C570" s="3">
        <v>178</v>
      </c>
      <c r="D570" s="1">
        <v>200</v>
      </c>
      <c r="E570" t="str">
        <f>VLOOKUP(A570,Sheet2!A:E,5,)</f>
        <v>MOON SHINE WINE</v>
      </c>
      <c r="F570" t="s">
        <v>374</v>
      </c>
      <c r="G570" s="3">
        <v>178</v>
      </c>
      <c r="H570" s="1">
        <v>200</v>
      </c>
    </row>
    <row r="571" spans="1:8" x14ac:dyDescent="0.35">
      <c r="A571" s="2" t="s">
        <v>662</v>
      </c>
      <c r="B571" s="2" t="s">
        <v>370</v>
      </c>
      <c r="C571" s="3">
        <v>204.04</v>
      </c>
      <c r="D571" s="1">
        <v>230</v>
      </c>
      <c r="E571" t="str">
        <f>VLOOKUP(A571,Sheet2!A:E,5,)</f>
        <v>MOON WALK FLAVOUR</v>
      </c>
      <c r="F571" t="s">
        <v>5</v>
      </c>
      <c r="G571" s="3">
        <v>204.04</v>
      </c>
      <c r="H571" s="1">
        <v>230</v>
      </c>
    </row>
    <row r="572" spans="1:8" x14ac:dyDescent="0.35">
      <c r="A572" s="2" t="s">
        <v>662</v>
      </c>
      <c r="B572" s="2" t="s">
        <v>369</v>
      </c>
      <c r="C572" s="3">
        <v>388.07</v>
      </c>
      <c r="D572" s="1">
        <v>440</v>
      </c>
      <c r="E572" t="str">
        <f>VLOOKUP(A572,Sheet2!A:E,5,)</f>
        <v>MOON WALK FLAVOUR</v>
      </c>
      <c r="F572" t="s">
        <v>4</v>
      </c>
      <c r="G572" s="3">
        <v>388.07</v>
      </c>
      <c r="H572" s="1">
        <v>440</v>
      </c>
    </row>
    <row r="573" spans="1:8" x14ac:dyDescent="0.35">
      <c r="A573" s="2" t="s">
        <v>663</v>
      </c>
      <c r="B573" s="2" t="s">
        <v>368</v>
      </c>
      <c r="C573" s="3">
        <v>102.77</v>
      </c>
      <c r="D573" s="1">
        <v>120</v>
      </c>
      <c r="E573" t="str">
        <f>VLOOKUP(A573,Sheet2!A:E,5,)</f>
        <v>MOON WALK G.APPLE/ORANGE</v>
      </c>
      <c r="F573" t="s">
        <v>374</v>
      </c>
      <c r="G573" s="3">
        <v>102.77</v>
      </c>
      <c r="H573" s="1">
        <v>120</v>
      </c>
    </row>
    <row r="574" spans="1:8" x14ac:dyDescent="0.35">
      <c r="A574" s="2" t="s">
        <v>664</v>
      </c>
      <c r="B574" s="2" t="s">
        <v>368</v>
      </c>
      <c r="C574" s="3">
        <v>244.74</v>
      </c>
      <c r="D574" s="1">
        <v>280</v>
      </c>
      <c r="E574" t="str">
        <f>VLOOKUP(A574,Sheet2!A:E,5,)</f>
        <v>MORPHEUS BLUE BRANDY</v>
      </c>
      <c r="F574" t="s">
        <v>374</v>
      </c>
      <c r="G574" s="3">
        <v>244.74</v>
      </c>
      <c r="H574" s="1">
        <v>280</v>
      </c>
    </row>
    <row r="575" spans="1:8" x14ac:dyDescent="0.35">
      <c r="A575" s="2" t="s">
        <v>665</v>
      </c>
      <c r="B575" s="2" t="s">
        <v>369</v>
      </c>
      <c r="C575" s="3">
        <v>991.9</v>
      </c>
      <c r="D575" s="1">
        <v>1120</v>
      </c>
      <c r="E575" t="str">
        <f>VLOOKUP(A575,Sheet2!A:E,5,)</f>
        <v>MORPHEUS BLUE BRANDY</v>
      </c>
      <c r="F575" t="s">
        <v>4</v>
      </c>
      <c r="G575" s="3">
        <v>991.9</v>
      </c>
      <c r="H575" s="1">
        <v>1120</v>
      </c>
    </row>
    <row r="576" spans="1:8" x14ac:dyDescent="0.35">
      <c r="A576" s="2" t="s">
        <v>666</v>
      </c>
      <c r="B576" s="2" t="s">
        <v>372</v>
      </c>
      <c r="C576" s="3">
        <v>272.55</v>
      </c>
      <c r="D576" s="1">
        <v>310</v>
      </c>
      <c r="E576" t="str">
        <f>VLOOKUP(A576,Sheet2!A:E,5,)</f>
        <v>MORPHEUS RARE LUXURY WHISKY</v>
      </c>
      <c r="F576" t="s">
        <v>374</v>
      </c>
      <c r="G576" s="3">
        <v>272.55</v>
      </c>
      <c r="H576" s="1">
        <v>310</v>
      </c>
    </row>
    <row r="577" spans="1:8" x14ac:dyDescent="0.35">
      <c r="A577" s="2" t="s">
        <v>666</v>
      </c>
      <c r="B577" s="2" t="s">
        <v>370</v>
      </c>
      <c r="C577" s="3">
        <v>542.92999999999995</v>
      </c>
      <c r="D577" s="1">
        <v>610</v>
      </c>
      <c r="E577" t="str">
        <f>VLOOKUP(A577,Sheet2!A:E,5,)</f>
        <v>MORPHEUS RARE LUXURY WHISKY</v>
      </c>
      <c r="F577" t="s">
        <v>5</v>
      </c>
      <c r="G577" s="3">
        <v>542.92999999999995</v>
      </c>
      <c r="H577" s="1">
        <v>610</v>
      </c>
    </row>
    <row r="578" spans="1:8" x14ac:dyDescent="0.35">
      <c r="A578" s="2" t="s">
        <v>666</v>
      </c>
      <c r="B578" s="2" t="s">
        <v>369</v>
      </c>
      <c r="C578" s="3">
        <v>1075.5999999999999</v>
      </c>
      <c r="D578" s="1">
        <v>1210</v>
      </c>
      <c r="E578" t="str">
        <f>VLOOKUP(A578,Sheet2!A:E,5,)</f>
        <v>MORPHEUS RARE LUXURY WHISKY</v>
      </c>
      <c r="F578" t="s">
        <v>4</v>
      </c>
      <c r="G578" s="3">
        <v>1075.5999999999999</v>
      </c>
      <c r="H578" s="1">
        <v>1210</v>
      </c>
    </row>
    <row r="579" spans="1:8" x14ac:dyDescent="0.35">
      <c r="A579" s="2" t="s">
        <v>667</v>
      </c>
      <c r="B579" s="2" t="s">
        <v>368</v>
      </c>
      <c r="C579" s="3">
        <v>197.95</v>
      </c>
      <c r="D579" s="1">
        <v>230</v>
      </c>
      <c r="E579" t="str">
        <f>VLOOKUP(A579,Sheet2!A:E,5,)</f>
        <v>MORPHEUS XO BRANDY</v>
      </c>
      <c r="F579" t="s">
        <v>374</v>
      </c>
      <c r="G579" s="3">
        <v>197.95</v>
      </c>
      <c r="H579" s="1">
        <v>230</v>
      </c>
    </row>
    <row r="580" spans="1:8" x14ac:dyDescent="0.35">
      <c r="A580" s="2" t="s">
        <v>668</v>
      </c>
      <c r="B580" s="2" t="s">
        <v>370</v>
      </c>
      <c r="C580" s="3">
        <v>400.34</v>
      </c>
      <c r="D580" s="1">
        <v>450</v>
      </c>
      <c r="E580" t="str">
        <f>VLOOKUP(A580,Sheet2!A:E,5,)</f>
        <v>MORPHEUS XO BRANDY</v>
      </c>
      <c r="F580" t="s">
        <v>5</v>
      </c>
      <c r="G580" s="3">
        <v>400.34</v>
      </c>
      <c r="H580" s="1">
        <v>450</v>
      </c>
    </row>
    <row r="581" spans="1:8" x14ac:dyDescent="0.35">
      <c r="A581" s="2" t="s">
        <v>667</v>
      </c>
      <c r="B581" s="2" t="s">
        <v>369</v>
      </c>
      <c r="C581" s="3">
        <v>770.52</v>
      </c>
      <c r="D581" s="1">
        <v>870</v>
      </c>
      <c r="E581" t="str">
        <f>VLOOKUP(A581,Sheet2!A:E,5,)</f>
        <v>MORPHEUS XO BRANDY</v>
      </c>
      <c r="F581" t="s">
        <v>4</v>
      </c>
      <c r="G581" s="3">
        <v>770.52</v>
      </c>
      <c r="H581" s="1">
        <v>870</v>
      </c>
    </row>
    <row r="582" spans="1:8" x14ac:dyDescent="0.35">
      <c r="A582" s="2" t="s">
        <v>208</v>
      </c>
      <c r="B582" s="2" t="s">
        <v>368</v>
      </c>
      <c r="C582" s="3">
        <v>186.95</v>
      </c>
      <c r="D582" s="1">
        <v>210</v>
      </c>
      <c r="E582" t="str">
        <f>VLOOKUP(A582,Sheet2!A:E,5,)</f>
        <v>MOUNTAIN OAK CITRUS RUM LEMON</v>
      </c>
      <c r="F582" t="s">
        <v>374</v>
      </c>
      <c r="G582" s="3">
        <v>186.95</v>
      </c>
      <c r="H582" s="1">
        <v>210</v>
      </c>
    </row>
    <row r="583" spans="1:8" x14ac:dyDescent="0.35">
      <c r="A583" s="2" t="s">
        <v>669</v>
      </c>
      <c r="B583" s="2" t="s">
        <v>368</v>
      </c>
      <c r="C583" s="3">
        <v>139.61000000000001</v>
      </c>
      <c r="D583" s="1">
        <v>160</v>
      </c>
      <c r="E583" t="str">
        <f>VLOOKUP(A583,Sheet2!A:E,5,)</f>
        <v>MOUNTAIN OAK DARK RUM</v>
      </c>
      <c r="F583" t="s">
        <v>374</v>
      </c>
      <c r="G583" s="3">
        <v>139.61000000000001</v>
      </c>
      <c r="H583" s="1">
        <v>160</v>
      </c>
    </row>
    <row r="584" spans="1:8" x14ac:dyDescent="0.35">
      <c r="A584" s="2" t="s">
        <v>670</v>
      </c>
      <c r="B584" s="2" t="s">
        <v>370</v>
      </c>
      <c r="C584" s="3">
        <v>277.51</v>
      </c>
      <c r="D584" s="1">
        <v>320</v>
      </c>
      <c r="E584" t="str">
        <f>VLOOKUP(A584,Sheet2!A:E,5,)</f>
        <v>MOUNTAIN OAK DARK RUM</v>
      </c>
      <c r="F584" t="s">
        <v>5</v>
      </c>
      <c r="G584" s="3">
        <v>277.51</v>
      </c>
      <c r="H584" s="1">
        <v>320</v>
      </c>
    </row>
    <row r="585" spans="1:8" x14ac:dyDescent="0.35">
      <c r="A585" s="2" t="s">
        <v>671</v>
      </c>
      <c r="B585" s="2" t="s">
        <v>368</v>
      </c>
      <c r="C585" s="3">
        <v>129.85</v>
      </c>
      <c r="D585" s="1">
        <v>150</v>
      </c>
      <c r="E585" t="str">
        <f>VLOOKUP(A585,Sheet2!A:E,5,)</f>
        <v>MOUNTAIN OAK SALECT</v>
      </c>
      <c r="F585" t="s">
        <v>374</v>
      </c>
      <c r="G585" s="3">
        <v>129.85</v>
      </c>
      <c r="H585" s="1">
        <v>150</v>
      </c>
    </row>
    <row r="586" spans="1:8" x14ac:dyDescent="0.35">
      <c r="A586" s="2" t="s">
        <v>672</v>
      </c>
      <c r="B586" s="2" t="s">
        <v>370</v>
      </c>
      <c r="C586" s="3">
        <v>267.98</v>
      </c>
      <c r="D586" s="1">
        <v>310</v>
      </c>
      <c r="E586" t="str">
        <f>VLOOKUP(A586,Sheet2!A:E,5,)</f>
        <v>MOUNTAIN OAK SALECT</v>
      </c>
      <c r="F586" t="s">
        <v>5</v>
      </c>
      <c r="G586" s="3">
        <v>267.98</v>
      </c>
      <c r="H586" s="1">
        <v>310</v>
      </c>
    </row>
    <row r="587" spans="1:8" x14ac:dyDescent="0.35">
      <c r="A587" s="2" t="s">
        <v>209</v>
      </c>
      <c r="B587" s="2" t="s">
        <v>369</v>
      </c>
      <c r="C587" s="3">
        <v>525.99</v>
      </c>
      <c r="D587" s="1">
        <v>590</v>
      </c>
      <c r="E587" t="str">
        <f>VLOOKUP(A587,Sheet2!A:E,5,)</f>
        <v>MOUNTAIN OAK SALECT</v>
      </c>
      <c r="F587" t="s">
        <v>4</v>
      </c>
      <c r="G587" s="3">
        <v>525.99</v>
      </c>
      <c r="H587" s="1">
        <v>590</v>
      </c>
    </row>
    <row r="588" spans="1:8" x14ac:dyDescent="0.35">
      <c r="A588" s="2" t="s">
        <v>210</v>
      </c>
      <c r="B588" s="2" t="s">
        <v>369</v>
      </c>
      <c r="C588" s="3">
        <v>3721.66</v>
      </c>
      <c r="D588" s="1">
        <v>4170</v>
      </c>
      <c r="E588" t="str">
        <f>VLOOKUP(A588,Sheet2!A:E,5,)</f>
        <v>MYTHIC MOUNTAIN MALBECK/CHARDONNAY</v>
      </c>
      <c r="F588" t="s">
        <v>4</v>
      </c>
      <c r="G588" s="3">
        <v>3721.66</v>
      </c>
      <c r="H588" s="1">
        <v>4170</v>
      </c>
    </row>
    <row r="589" spans="1:8" x14ac:dyDescent="0.35">
      <c r="A589" s="2" t="s">
        <v>673</v>
      </c>
      <c r="B589" s="2" t="s">
        <v>372</v>
      </c>
      <c r="C589" s="3">
        <v>205.15</v>
      </c>
      <c r="D589" s="1">
        <v>230</v>
      </c>
      <c r="E589" t="str">
        <f>VLOOKUP(A589,Sheet2!A:E,5,)</f>
        <v>NAUTILUS XO BRANDY</v>
      </c>
      <c r="F589" t="s">
        <v>374</v>
      </c>
      <c r="G589" s="3">
        <v>205.15</v>
      </c>
      <c r="H589" s="1">
        <v>230</v>
      </c>
    </row>
    <row r="590" spans="1:8" x14ac:dyDescent="0.35">
      <c r="A590" s="2" t="s">
        <v>673</v>
      </c>
      <c r="B590" s="2" t="s">
        <v>370</v>
      </c>
      <c r="C590" s="3">
        <v>386.72</v>
      </c>
      <c r="D590" s="1">
        <v>440</v>
      </c>
      <c r="E590" t="str">
        <f>VLOOKUP(A590,Sheet2!A:E,5,)</f>
        <v>NAUTILUS XO BRANDY</v>
      </c>
      <c r="F590" t="s">
        <v>5</v>
      </c>
      <c r="G590" s="3">
        <v>386.72</v>
      </c>
      <c r="H590" s="1">
        <v>440</v>
      </c>
    </row>
    <row r="591" spans="1:8" x14ac:dyDescent="0.35">
      <c r="A591" s="2" t="s">
        <v>673</v>
      </c>
      <c r="B591" s="2" t="s">
        <v>369</v>
      </c>
      <c r="C591" s="3">
        <v>773.45</v>
      </c>
      <c r="D591" s="1">
        <v>870</v>
      </c>
      <c r="E591" t="str">
        <f>VLOOKUP(A591,Sheet2!A:E,5,)</f>
        <v>NAUTILUS XO BRANDY</v>
      </c>
      <c r="F591" t="s">
        <v>4</v>
      </c>
      <c r="G591" s="3">
        <v>773.45</v>
      </c>
      <c r="H591" s="1">
        <v>870</v>
      </c>
    </row>
    <row r="592" spans="1:8" x14ac:dyDescent="0.35">
      <c r="A592" s="2" t="s">
        <v>674</v>
      </c>
      <c r="B592" s="2" t="s">
        <v>369</v>
      </c>
      <c r="C592" s="3">
        <v>2429.1</v>
      </c>
      <c r="D592" s="1">
        <v>2730</v>
      </c>
      <c r="E592" t="str">
        <f>VLOOKUP(A592,Sheet2!A:E,5,)</f>
        <v>NEMIROFF DE LUXE</v>
      </c>
      <c r="F592" t="s">
        <v>4</v>
      </c>
      <c r="G592" s="3">
        <v>2429.1</v>
      </c>
      <c r="H592" s="1">
        <v>2730</v>
      </c>
    </row>
    <row r="593" spans="1:8" x14ac:dyDescent="0.35">
      <c r="A593" s="2" t="s">
        <v>675</v>
      </c>
      <c r="B593" s="2" t="s">
        <v>369</v>
      </c>
      <c r="C593" s="3">
        <v>1804.2</v>
      </c>
      <c r="D593" s="1">
        <v>2030</v>
      </c>
      <c r="E593" t="str">
        <f>VLOOKUP(A593,Sheet2!A:E,5,)</f>
        <v>NICOBAR INDIAN DRY JIN</v>
      </c>
      <c r="F593" t="s">
        <v>4</v>
      </c>
      <c r="G593" s="3">
        <v>1804.2</v>
      </c>
      <c r="H593" s="1">
        <v>2030</v>
      </c>
    </row>
    <row r="594" spans="1:8" x14ac:dyDescent="0.35">
      <c r="A594" s="2" t="s">
        <v>676</v>
      </c>
      <c r="B594" s="2" t="s">
        <v>369</v>
      </c>
      <c r="C594" s="3">
        <v>636.19000000000005</v>
      </c>
      <c r="D594" s="1">
        <v>720</v>
      </c>
      <c r="E594" t="str">
        <f>VLOOKUP(A594,Sheet2!A:E,5,)</f>
        <v>NIGHT UP PR. BLENDED WHISKY</v>
      </c>
      <c r="F594" t="s">
        <v>4</v>
      </c>
      <c r="G594" s="3">
        <v>636.19000000000005</v>
      </c>
      <c r="H594" s="1">
        <v>720</v>
      </c>
    </row>
    <row r="595" spans="1:8" x14ac:dyDescent="0.35">
      <c r="A595" s="2" t="s">
        <v>677</v>
      </c>
      <c r="B595" s="2" t="s">
        <v>369</v>
      </c>
      <c r="C595" s="3">
        <v>827.99</v>
      </c>
      <c r="D595" s="1">
        <v>930</v>
      </c>
      <c r="E595" t="str">
        <f>VLOOKUP(A595,Sheet2!A:E,5,)</f>
        <v>NOI SPARKING ROSE</v>
      </c>
      <c r="F595" t="s">
        <v>4</v>
      </c>
      <c r="G595" s="3">
        <v>827.99</v>
      </c>
      <c r="H595" s="1">
        <v>930</v>
      </c>
    </row>
    <row r="596" spans="1:8" x14ac:dyDescent="0.35">
      <c r="A596" s="2" t="s">
        <v>211</v>
      </c>
      <c r="B596" s="2" t="s">
        <v>369</v>
      </c>
      <c r="C596" s="3">
        <v>862.94</v>
      </c>
      <c r="D596" s="1">
        <v>970</v>
      </c>
      <c r="E596" t="str">
        <f>VLOOKUP(A596,Sheet2!A:E,5,)</f>
        <v>NOI SPARKING WINE</v>
      </c>
      <c r="F596" t="s">
        <v>4</v>
      </c>
      <c r="G596" s="3">
        <v>862.94</v>
      </c>
      <c r="H596" s="1">
        <v>970</v>
      </c>
    </row>
    <row r="597" spans="1:8" x14ac:dyDescent="0.35">
      <c r="A597" s="2" t="s">
        <v>212</v>
      </c>
      <c r="B597" s="2" t="s">
        <v>372</v>
      </c>
      <c r="C597" s="3">
        <v>140.11000000000001</v>
      </c>
      <c r="D597" s="1">
        <v>160</v>
      </c>
      <c r="E597" t="str">
        <f>VLOOKUP(A597,Sheet2!A:E,5,)</f>
        <v>NOI SPRITZER CLASSICO</v>
      </c>
      <c r="F597" t="s">
        <v>374</v>
      </c>
      <c r="G597" s="3">
        <v>140.11000000000001</v>
      </c>
      <c r="H597" s="1">
        <v>160</v>
      </c>
    </row>
    <row r="598" spans="1:8" x14ac:dyDescent="0.35">
      <c r="A598" s="2" t="s">
        <v>678</v>
      </c>
      <c r="B598" s="2" t="s">
        <v>368</v>
      </c>
      <c r="C598" s="3">
        <v>196.15</v>
      </c>
      <c r="D598" s="1">
        <v>220</v>
      </c>
      <c r="E598" t="str">
        <f>VLOOKUP(A598,Sheet2!A:E,5,)</f>
        <v>OAKEN GLOW</v>
      </c>
      <c r="F598" t="s">
        <v>374</v>
      </c>
      <c r="G598" s="3">
        <v>196.15</v>
      </c>
      <c r="H598" s="1">
        <v>220</v>
      </c>
    </row>
    <row r="599" spans="1:8" x14ac:dyDescent="0.35">
      <c r="A599" s="2" t="s">
        <v>679</v>
      </c>
      <c r="B599" s="2" t="s">
        <v>370</v>
      </c>
      <c r="C599" s="3">
        <v>400.49</v>
      </c>
      <c r="D599" s="1">
        <v>450</v>
      </c>
      <c r="E599" t="str">
        <f>VLOOKUP(A599,Sheet2!A:E,5,)</f>
        <v>OAKEN GLOW</v>
      </c>
      <c r="F599" t="s">
        <v>5</v>
      </c>
      <c r="G599" s="3">
        <v>400.49</v>
      </c>
      <c r="H599" s="1">
        <v>450</v>
      </c>
    </row>
    <row r="600" spans="1:8" x14ac:dyDescent="0.35">
      <c r="A600" s="2" t="s">
        <v>680</v>
      </c>
      <c r="B600" s="2" t="s">
        <v>369</v>
      </c>
      <c r="C600" s="3">
        <v>780.98</v>
      </c>
      <c r="D600" s="1">
        <v>880</v>
      </c>
      <c r="E600" t="str">
        <f>VLOOKUP(A600,Sheet2!A:E,5,)</f>
        <v>OAKEN GLOW</v>
      </c>
      <c r="F600" t="s">
        <v>4</v>
      </c>
      <c r="G600" s="3">
        <v>780.98</v>
      </c>
      <c r="H600" s="1">
        <v>880</v>
      </c>
    </row>
    <row r="601" spans="1:8" x14ac:dyDescent="0.35">
      <c r="A601" s="2" t="s">
        <v>213</v>
      </c>
      <c r="B601" s="2" t="s">
        <v>371</v>
      </c>
      <c r="C601" s="3">
        <v>97.98</v>
      </c>
      <c r="D601" s="1">
        <v>110</v>
      </c>
      <c r="E601" t="str">
        <f>VLOOKUP(A601,Sheet2!A:E,5,)</f>
        <v>OAKEN GLOW</v>
      </c>
      <c r="F601" t="s">
        <v>376</v>
      </c>
      <c r="G601" s="3">
        <v>97.98</v>
      </c>
      <c r="H601" s="1">
        <v>110</v>
      </c>
    </row>
    <row r="602" spans="1:8" x14ac:dyDescent="0.35">
      <c r="A602" s="2" t="s">
        <v>214</v>
      </c>
      <c r="B602" s="2" t="s">
        <v>368</v>
      </c>
      <c r="C602" s="3">
        <v>215.72</v>
      </c>
      <c r="D602" s="1">
        <v>250</v>
      </c>
      <c r="E602" t="str">
        <f>VLOOKUP(A602,Sheet2!A:E,5,)</f>
        <v>OAKSHMITH GOLD</v>
      </c>
      <c r="F602" t="s">
        <v>374</v>
      </c>
      <c r="G602" s="3">
        <v>215.72</v>
      </c>
      <c r="H602" s="1">
        <v>250</v>
      </c>
    </row>
    <row r="603" spans="1:8" x14ac:dyDescent="0.35">
      <c r="A603" s="2" t="s">
        <v>215</v>
      </c>
      <c r="B603" s="2" t="s">
        <v>370</v>
      </c>
      <c r="C603" s="3">
        <v>419.41</v>
      </c>
      <c r="D603" s="1">
        <v>470</v>
      </c>
      <c r="E603" t="str">
        <f>VLOOKUP(A603,Sheet2!A:E,5,)</f>
        <v>OAKSHMITH GOLD</v>
      </c>
      <c r="F603" t="s">
        <v>5</v>
      </c>
      <c r="G603" s="3">
        <v>419.41</v>
      </c>
      <c r="H603" s="1">
        <v>470</v>
      </c>
    </row>
    <row r="604" spans="1:8" x14ac:dyDescent="0.35">
      <c r="A604" s="2" t="s">
        <v>216</v>
      </c>
      <c r="B604" s="2" t="s">
        <v>369</v>
      </c>
      <c r="C604" s="3">
        <v>828.82</v>
      </c>
      <c r="D604" s="1">
        <v>930</v>
      </c>
      <c r="E604" t="str">
        <f>VLOOKUP(A604,Sheet2!A:E,5,)</f>
        <v>OAKSHMITH GOLD</v>
      </c>
      <c r="F604" t="s">
        <v>4</v>
      </c>
      <c r="G604" s="3">
        <v>828.82</v>
      </c>
      <c r="H604" s="1">
        <v>930</v>
      </c>
    </row>
    <row r="605" spans="1:8" x14ac:dyDescent="0.35">
      <c r="A605" s="2" t="s">
        <v>681</v>
      </c>
      <c r="B605" s="2" t="s">
        <v>368</v>
      </c>
      <c r="C605" s="3">
        <v>158.4</v>
      </c>
      <c r="D605" s="1">
        <v>180</v>
      </c>
      <c r="E605" t="str">
        <f>VLOOKUP(A605,Sheet2!A:E,5,)</f>
        <v>OAKSHMITH INTERNATIONAL</v>
      </c>
      <c r="F605" t="s">
        <v>374</v>
      </c>
      <c r="G605" s="3">
        <v>158.4</v>
      </c>
      <c r="H605" s="1">
        <v>180</v>
      </c>
    </row>
    <row r="606" spans="1:8" x14ac:dyDescent="0.35">
      <c r="A606" s="2" t="s">
        <v>217</v>
      </c>
      <c r="B606" s="2" t="s">
        <v>370</v>
      </c>
      <c r="C606" s="3">
        <v>315.01</v>
      </c>
      <c r="D606" s="1">
        <v>360</v>
      </c>
      <c r="E606" t="str">
        <f>VLOOKUP(A606,Sheet2!A:E,5,)</f>
        <v>OAKSHMITH INTERNATIONAL</v>
      </c>
      <c r="F606" t="s">
        <v>5</v>
      </c>
      <c r="G606" s="3">
        <v>315.01</v>
      </c>
      <c r="H606" s="1">
        <v>360</v>
      </c>
    </row>
    <row r="607" spans="1:8" x14ac:dyDescent="0.35">
      <c r="A607" s="2" t="s">
        <v>218</v>
      </c>
      <c r="B607" s="2" t="s">
        <v>369</v>
      </c>
      <c r="C607" s="3">
        <v>610.02</v>
      </c>
      <c r="D607" s="1">
        <v>690</v>
      </c>
      <c r="E607" t="str">
        <f>VLOOKUP(A607,Sheet2!A:E,5,)</f>
        <v>OAKSHMITH INTERNATIONAL</v>
      </c>
      <c r="F607" t="s">
        <v>4</v>
      </c>
      <c r="G607" s="3">
        <v>610.02</v>
      </c>
      <c r="H607" s="1">
        <v>690</v>
      </c>
    </row>
    <row r="608" spans="1:8" x14ac:dyDescent="0.35">
      <c r="A608" s="2" t="s">
        <v>219</v>
      </c>
      <c r="B608" s="2" t="s">
        <v>369</v>
      </c>
      <c r="C608" s="3">
        <v>836.23</v>
      </c>
      <c r="D608" s="1">
        <v>940</v>
      </c>
      <c r="E608" t="str">
        <f>VLOOKUP(A608,Sheet2!A:E,5,)</f>
        <v>OAKWOOD CREEK WHISKY</v>
      </c>
      <c r="F608" t="s">
        <v>4</v>
      </c>
      <c r="G608" s="3">
        <v>836.23</v>
      </c>
      <c r="H608" s="1">
        <v>940</v>
      </c>
    </row>
    <row r="609" spans="1:8" x14ac:dyDescent="0.35">
      <c r="A609" s="2" t="s">
        <v>682</v>
      </c>
      <c r="B609" s="2" t="s">
        <v>368</v>
      </c>
      <c r="C609" s="3">
        <v>121.58</v>
      </c>
      <c r="D609" s="1">
        <v>140</v>
      </c>
      <c r="E609" t="str">
        <f>VLOOKUP(A609,Sheet2!A:E,5,)</f>
        <v>OC BLUE GRAIN WHISKY</v>
      </c>
      <c r="F609" t="s">
        <v>374</v>
      </c>
      <c r="G609" s="3">
        <v>121.58</v>
      </c>
      <c r="H609" s="1">
        <v>140</v>
      </c>
    </row>
    <row r="610" spans="1:8" x14ac:dyDescent="0.35">
      <c r="A610" s="2" t="s">
        <v>682</v>
      </c>
      <c r="B610" s="2" t="s">
        <v>370</v>
      </c>
      <c r="C610" s="3">
        <v>250.93</v>
      </c>
      <c r="D610" s="1">
        <v>290</v>
      </c>
      <c r="E610" t="str">
        <f>VLOOKUP(A610,Sheet2!A:E,5,)</f>
        <v>OC BLUE GRAIN WHISKY</v>
      </c>
      <c r="F610" t="s">
        <v>5</v>
      </c>
      <c r="G610" s="3">
        <v>250.93</v>
      </c>
      <c r="H610" s="1">
        <v>290</v>
      </c>
    </row>
    <row r="611" spans="1:8" x14ac:dyDescent="0.35">
      <c r="A611" s="2" t="s">
        <v>682</v>
      </c>
      <c r="B611" s="2" t="s">
        <v>369</v>
      </c>
      <c r="C611" s="3">
        <v>481.29</v>
      </c>
      <c r="D611" s="1">
        <v>540</v>
      </c>
      <c r="E611" t="str">
        <f>VLOOKUP(A611,Sheet2!A:E,5,)</f>
        <v>OC BLUE GRAIN WHISKY</v>
      </c>
      <c r="F611" t="s">
        <v>4</v>
      </c>
      <c r="G611" s="3">
        <v>481.29</v>
      </c>
      <c r="H611" s="1">
        <v>540</v>
      </c>
    </row>
    <row r="612" spans="1:8" x14ac:dyDescent="0.35">
      <c r="A612" s="2" t="s">
        <v>683</v>
      </c>
      <c r="B612" s="2" t="s">
        <v>368</v>
      </c>
      <c r="C612" s="3">
        <v>102.72</v>
      </c>
      <c r="D612" s="1">
        <v>120</v>
      </c>
      <c r="E612" t="str">
        <f>VLOOKUP(A612,Sheet2!A:E,5,)</f>
        <v>OC ORIGINAL WHISKY</v>
      </c>
      <c r="F612" t="s">
        <v>374</v>
      </c>
      <c r="G612" s="3">
        <v>102.72</v>
      </c>
      <c r="H612" s="1">
        <v>120</v>
      </c>
    </row>
    <row r="613" spans="1:8" x14ac:dyDescent="0.35">
      <c r="A613" s="2" t="s">
        <v>684</v>
      </c>
      <c r="B613" s="2" t="s">
        <v>368</v>
      </c>
      <c r="C613" s="3">
        <v>129.99</v>
      </c>
      <c r="D613" s="1">
        <v>150</v>
      </c>
      <c r="E613" t="str">
        <f>VLOOKUP(A613,Sheet2!A:E,5,)</f>
        <v>OLD FOX RUM</v>
      </c>
      <c r="F613" t="s">
        <v>374</v>
      </c>
      <c r="G613" s="3">
        <v>129.99</v>
      </c>
      <c r="H613" s="1">
        <v>150</v>
      </c>
    </row>
    <row r="614" spans="1:8" x14ac:dyDescent="0.35">
      <c r="A614" s="2" t="s">
        <v>685</v>
      </c>
      <c r="B614" s="2" t="s">
        <v>370</v>
      </c>
      <c r="C614" s="3">
        <v>268.74</v>
      </c>
      <c r="D614" s="1">
        <v>310</v>
      </c>
      <c r="E614" t="str">
        <f>VLOOKUP(A614,Sheet2!A:E,5,)</f>
        <v>OLD FOX RUM</v>
      </c>
      <c r="F614" t="s">
        <v>5</v>
      </c>
      <c r="G614" s="3">
        <v>268.74</v>
      </c>
      <c r="H614" s="1">
        <v>310</v>
      </c>
    </row>
    <row r="615" spans="1:8" x14ac:dyDescent="0.35">
      <c r="A615" s="2" t="s">
        <v>686</v>
      </c>
      <c r="B615" s="2" t="s">
        <v>369</v>
      </c>
      <c r="C615" s="3">
        <v>516.37</v>
      </c>
      <c r="D615" s="1">
        <v>580</v>
      </c>
      <c r="E615" t="str">
        <f>VLOOKUP(A615,Sheet2!A:E,5,)</f>
        <v>OLD FOX RUM</v>
      </c>
      <c r="F615" t="s">
        <v>4</v>
      </c>
      <c r="G615" s="3">
        <v>516.37</v>
      </c>
      <c r="H615" s="1">
        <v>580</v>
      </c>
    </row>
    <row r="616" spans="1:8" x14ac:dyDescent="0.35">
      <c r="A616" s="2" t="s">
        <v>220</v>
      </c>
      <c r="B616" s="2" t="s">
        <v>368</v>
      </c>
      <c r="C616" s="3">
        <v>214.99</v>
      </c>
      <c r="D616" s="1">
        <v>250</v>
      </c>
      <c r="E616" t="str">
        <f>VLOOKUP(A616,Sheet2!A:E,5,)</f>
        <v>OLD MONK AMBER MELLOW &amp; MATURED RUM</v>
      </c>
      <c r="F616" t="s">
        <v>374</v>
      </c>
      <c r="G616" s="3">
        <v>214.99</v>
      </c>
      <c r="H616" s="1">
        <v>250</v>
      </c>
    </row>
    <row r="617" spans="1:8" x14ac:dyDescent="0.35">
      <c r="A617" s="2" t="s">
        <v>687</v>
      </c>
      <c r="B617" s="2" t="s">
        <v>370</v>
      </c>
      <c r="C617" s="3">
        <v>439.1</v>
      </c>
      <c r="D617" s="1">
        <v>500</v>
      </c>
      <c r="E617" t="str">
        <f>VLOOKUP(A617,Sheet2!A:E,5,)</f>
        <v>OLD MONK AMBER MELLOW &amp; MATURED RUM</v>
      </c>
      <c r="F617" t="s">
        <v>5</v>
      </c>
      <c r="G617" s="3">
        <v>439.1</v>
      </c>
      <c r="H617" s="1">
        <v>500</v>
      </c>
    </row>
    <row r="618" spans="1:8" x14ac:dyDescent="0.35">
      <c r="A618" s="2" t="s">
        <v>688</v>
      </c>
      <c r="B618" s="2" t="s">
        <v>369</v>
      </c>
      <c r="C618" s="3">
        <v>847.31</v>
      </c>
      <c r="D618" s="1">
        <v>950</v>
      </c>
      <c r="E618" t="str">
        <f>VLOOKUP(A618,Sheet2!A:E,5,)</f>
        <v>OLD MONK AMBER MELLOW &amp; MATURED RUM</v>
      </c>
      <c r="F618" t="s">
        <v>4</v>
      </c>
      <c r="G618" s="3">
        <v>847.31</v>
      </c>
      <c r="H618" s="1">
        <v>950</v>
      </c>
    </row>
    <row r="619" spans="1:8" x14ac:dyDescent="0.35">
      <c r="A619" s="2" t="s">
        <v>689</v>
      </c>
      <c r="B619" s="2" t="s">
        <v>371</v>
      </c>
      <c r="C619" s="3">
        <v>107.31</v>
      </c>
      <c r="D619" s="1">
        <v>130</v>
      </c>
      <c r="E619" t="str">
        <f>VLOOKUP(A619,Sheet2!A:E,5,)</f>
        <v>OLD MONK AMBER MELLOW &amp; MATURED RUM</v>
      </c>
      <c r="F619" t="s">
        <v>376</v>
      </c>
      <c r="G619" s="3">
        <v>107.31</v>
      </c>
      <c r="H619" s="1">
        <v>130</v>
      </c>
    </row>
    <row r="620" spans="1:8" x14ac:dyDescent="0.35">
      <c r="A620" s="2" t="s">
        <v>690</v>
      </c>
      <c r="B620" s="2" t="s">
        <v>368</v>
      </c>
      <c r="C620" s="3">
        <v>215.38</v>
      </c>
      <c r="D620" s="1">
        <v>250</v>
      </c>
      <c r="E620" t="str">
        <f>VLOOKUP(A620,Sheet2!A:E,5,)</f>
        <v>OLD MONK COFEE EXTRA</v>
      </c>
      <c r="F620" t="s">
        <v>374</v>
      </c>
      <c r="G620" s="3">
        <v>215.38</v>
      </c>
      <c r="H620" s="1">
        <v>250</v>
      </c>
    </row>
    <row r="621" spans="1:8" x14ac:dyDescent="0.35">
      <c r="A621" s="2" t="s">
        <v>691</v>
      </c>
      <c r="B621" s="2" t="s">
        <v>370</v>
      </c>
      <c r="C621" s="3">
        <v>439.01</v>
      </c>
      <c r="D621" s="1">
        <v>500</v>
      </c>
      <c r="E621" t="str">
        <f>VLOOKUP(A621,Sheet2!A:E,5,)</f>
        <v>OLD MONK COFEE EXTRA</v>
      </c>
      <c r="F621" t="s">
        <v>5</v>
      </c>
      <c r="G621" s="3">
        <v>439.01</v>
      </c>
      <c r="H621" s="1">
        <v>500</v>
      </c>
    </row>
    <row r="622" spans="1:8" x14ac:dyDescent="0.35">
      <c r="A622" s="2" t="s">
        <v>221</v>
      </c>
      <c r="B622" s="2" t="s">
        <v>369</v>
      </c>
      <c r="C622" s="3">
        <v>847.73</v>
      </c>
      <c r="D622" s="1">
        <v>950</v>
      </c>
      <c r="E622" t="str">
        <f>VLOOKUP(A622,Sheet2!A:E,5,)</f>
        <v>OLD MONK COFEE EXTRA</v>
      </c>
      <c r="F622" t="s">
        <v>4</v>
      </c>
      <c r="G622" s="3">
        <v>847.73</v>
      </c>
      <c r="H622" s="1">
        <v>950</v>
      </c>
    </row>
    <row r="623" spans="1:8" x14ac:dyDescent="0.35">
      <c r="A623" s="2" t="s">
        <v>222</v>
      </c>
      <c r="B623" s="2" t="s">
        <v>371</v>
      </c>
      <c r="C623" s="3">
        <v>107.71</v>
      </c>
      <c r="D623" s="1">
        <v>130</v>
      </c>
      <c r="E623" t="str">
        <f>VLOOKUP(A623,Sheet2!A:E,5,)</f>
        <v>OLD MONK COFEE EXTRA</v>
      </c>
      <c r="F623" t="s">
        <v>376</v>
      </c>
      <c r="G623" s="3">
        <v>107.71</v>
      </c>
      <c r="H623" s="1">
        <v>130</v>
      </c>
    </row>
    <row r="624" spans="1:8" x14ac:dyDescent="0.35">
      <c r="A624" s="2" t="s">
        <v>692</v>
      </c>
      <c r="B624" s="2" t="s">
        <v>368</v>
      </c>
      <c r="C624" s="3">
        <v>139.66</v>
      </c>
      <c r="D624" s="1">
        <v>160</v>
      </c>
      <c r="E624" t="str">
        <f>VLOOKUP(A624,Sheet2!A:E,5,)</f>
        <v>OLD MONK GOLD RUM</v>
      </c>
      <c r="F624" t="s">
        <v>374</v>
      </c>
      <c r="G624" s="3">
        <v>139.66</v>
      </c>
      <c r="H624" s="1">
        <v>160</v>
      </c>
    </row>
    <row r="625" spans="1:8" x14ac:dyDescent="0.35">
      <c r="A625" s="2" t="s">
        <v>693</v>
      </c>
      <c r="B625" s="2" t="s">
        <v>370</v>
      </c>
      <c r="C625" s="3">
        <v>277.73</v>
      </c>
      <c r="D625" s="1">
        <v>320</v>
      </c>
      <c r="E625" t="str">
        <f>VLOOKUP(A625,Sheet2!A:E,5,)</f>
        <v>OLD MONK GOLD RUM</v>
      </c>
      <c r="F625" t="s">
        <v>5</v>
      </c>
      <c r="G625" s="3">
        <v>277.73</v>
      </c>
      <c r="H625" s="1">
        <v>320</v>
      </c>
    </row>
    <row r="626" spans="1:8" x14ac:dyDescent="0.35">
      <c r="A626" s="2" t="s">
        <v>694</v>
      </c>
      <c r="B626" s="2" t="s">
        <v>369</v>
      </c>
      <c r="C626" s="3">
        <v>524.98</v>
      </c>
      <c r="D626" s="1">
        <v>590</v>
      </c>
      <c r="E626" t="str">
        <f>VLOOKUP(A626,Sheet2!A:E,5,)</f>
        <v>OLD MONK GOLD RUM</v>
      </c>
      <c r="F626" t="s">
        <v>4</v>
      </c>
      <c r="G626" s="3">
        <v>524.98</v>
      </c>
      <c r="H626" s="1">
        <v>590</v>
      </c>
    </row>
    <row r="627" spans="1:8" x14ac:dyDescent="0.35">
      <c r="A627" s="2" t="s">
        <v>695</v>
      </c>
      <c r="B627" s="2" t="s">
        <v>368</v>
      </c>
      <c r="C627" s="3">
        <v>187.09</v>
      </c>
      <c r="D627" s="1">
        <v>210</v>
      </c>
      <c r="E627" t="str">
        <f>VLOOKUP(A627,Sheet2!A:E,5,)</f>
        <v>OLD MONK LEGEND RUM</v>
      </c>
      <c r="F627" t="s">
        <v>374</v>
      </c>
      <c r="G627" s="3">
        <v>187.09</v>
      </c>
      <c r="H627" s="1">
        <v>210</v>
      </c>
    </row>
    <row r="628" spans="1:8" x14ac:dyDescent="0.35">
      <c r="A628" s="2" t="s">
        <v>696</v>
      </c>
      <c r="B628" s="2" t="s">
        <v>370</v>
      </c>
      <c r="C628" s="3">
        <v>362.28</v>
      </c>
      <c r="D628" s="1">
        <v>410</v>
      </c>
      <c r="E628" t="str">
        <f>VLOOKUP(A628,Sheet2!A:E,5,)</f>
        <v>OLD MONK LEGEND RUM</v>
      </c>
      <c r="F628" t="s">
        <v>5</v>
      </c>
      <c r="G628" s="3">
        <v>362.28</v>
      </c>
      <c r="H628" s="1">
        <v>410</v>
      </c>
    </row>
    <row r="629" spans="1:8" x14ac:dyDescent="0.35">
      <c r="A629" s="2" t="s">
        <v>697</v>
      </c>
      <c r="B629" s="2" t="s">
        <v>369</v>
      </c>
      <c r="C629" s="3">
        <v>704.65</v>
      </c>
      <c r="D629" s="1">
        <v>790</v>
      </c>
      <c r="E629" t="str">
        <f>VLOOKUP(A629,Sheet2!A:E,5,)</f>
        <v>OLD MONK LEGEND RUM</v>
      </c>
      <c r="F629" t="s">
        <v>4</v>
      </c>
      <c r="G629" s="3">
        <v>704.65</v>
      </c>
      <c r="H629" s="1">
        <v>790</v>
      </c>
    </row>
    <row r="630" spans="1:8" x14ac:dyDescent="0.35">
      <c r="A630" s="2" t="s">
        <v>698</v>
      </c>
      <c r="B630" s="2" t="s">
        <v>368</v>
      </c>
      <c r="C630" s="3">
        <v>186.87</v>
      </c>
      <c r="D630" s="1">
        <v>210</v>
      </c>
      <c r="E630" t="str">
        <f>VLOOKUP(A630,Sheet2!A:E,5,)</f>
        <v>OLD MONK LEMON RUM</v>
      </c>
      <c r="F630" t="s">
        <v>374</v>
      </c>
      <c r="G630" s="3">
        <v>186.87</v>
      </c>
      <c r="H630" s="1">
        <v>210</v>
      </c>
    </row>
    <row r="631" spans="1:8" x14ac:dyDescent="0.35">
      <c r="A631" s="2" t="s">
        <v>699</v>
      </c>
      <c r="B631" s="2" t="s">
        <v>370</v>
      </c>
      <c r="C631" s="3">
        <v>371.81</v>
      </c>
      <c r="D631" s="1">
        <v>420</v>
      </c>
      <c r="E631" t="str">
        <f>VLOOKUP(A631,Sheet2!A:E,5,)</f>
        <v>OLD MONK LEMON RUM</v>
      </c>
      <c r="F631" t="s">
        <v>5</v>
      </c>
      <c r="G631" s="3">
        <v>371.81</v>
      </c>
      <c r="H631" s="1">
        <v>420</v>
      </c>
    </row>
    <row r="632" spans="1:8" x14ac:dyDescent="0.35">
      <c r="A632" s="2" t="s">
        <v>700</v>
      </c>
      <c r="B632" s="2" t="s">
        <v>369</v>
      </c>
      <c r="C632" s="3">
        <v>723.61</v>
      </c>
      <c r="D632" s="1">
        <v>820</v>
      </c>
      <c r="E632" t="str">
        <f>VLOOKUP(A632,Sheet2!A:E,5,)</f>
        <v>OLD MONK LEMON RUM</v>
      </c>
      <c r="F632" t="s">
        <v>4</v>
      </c>
      <c r="G632" s="3">
        <v>723.61</v>
      </c>
      <c r="H632" s="1">
        <v>820</v>
      </c>
    </row>
    <row r="633" spans="1:8" x14ac:dyDescent="0.35">
      <c r="A633" s="2" t="s">
        <v>701</v>
      </c>
      <c r="B633" s="2" t="s">
        <v>372</v>
      </c>
      <c r="C633" s="3">
        <v>186.87</v>
      </c>
      <c r="D633" s="1">
        <v>210</v>
      </c>
      <c r="E633" t="str">
        <f>VLOOKUP(A633,Sheet2!A:E,5,)</f>
        <v>OLD MONK MANGO</v>
      </c>
      <c r="F633" t="s">
        <v>374</v>
      </c>
      <c r="G633" s="3">
        <v>186.87</v>
      </c>
      <c r="H633" s="1">
        <v>210</v>
      </c>
    </row>
    <row r="634" spans="1:8" x14ac:dyDescent="0.35">
      <c r="A634" s="2" t="s">
        <v>702</v>
      </c>
      <c r="B634" s="2" t="s">
        <v>369</v>
      </c>
      <c r="C634" s="3">
        <v>723.61</v>
      </c>
      <c r="D634" s="1">
        <v>820</v>
      </c>
      <c r="E634" t="str">
        <f>VLOOKUP(A634,Sheet2!A:E,5,)</f>
        <v>OLD MONK MANGO</v>
      </c>
      <c r="F634" t="s">
        <v>4</v>
      </c>
      <c r="G634" s="3">
        <v>723.61</v>
      </c>
      <c r="H634" s="1">
        <v>820</v>
      </c>
    </row>
    <row r="635" spans="1:8" x14ac:dyDescent="0.35">
      <c r="A635" s="2" t="s">
        <v>703</v>
      </c>
      <c r="B635" s="2" t="s">
        <v>372</v>
      </c>
      <c r="C635" s="3">
        <v>215.19</v>
      </c>
      <c r="D635" s="1">
        <v>250</v>
      </c>
      <c r="E635" t="str">
        <f>VLOOKUP(A635,Sheet2!A:E,5,)</f>
        <v>OLD MONK SPICED RUM</v>
      </c>
      <c r="F635" t="s">
        <v>374</v>
      </c>
      <c r="G635" s="3">
        <v>215.19</v>
      </c>
      <c r="H635" s="1">
        <v>250</v>
      </c>
    </row>
    <row r="636" spans="1:8" x14ac:dyDescent="0.35">
      <c r="A636" s="2" t="s">
        <v>223</v>
      </c>
      <c r="B636" s="2" t="s">
        <v>370</v>
      </c>
      <c r="C636" s="3">
        <v>438.4</v>
      </c>
      <c r="D636" s="1">
        <v>500</v>
      </c>
      <c r="E636" t="str">
        <f>VLOOKUP(A636,Sheet2!A:E,5,)</f>
        <v>OLD MONK SPICED RUM</v>
      </c>
      <c r="F636" t="s">
        <v>5</v>
      </c>
      <c r="G636" s="3">
        <v>438.4</v>
      </c>
      <c r="H636" s="1">
        <v>500</v>
      </c>
    </row>
    <row r="637" spans="1:8" x14ac:dyDescent="0.35">
      <c r="A637" s="2" t="s">
        <v>224</v>
      </c>
      <c r="B637" s="2" t="s">
        <v>369</v>
      </c>
      <c r="C637" s="3">
        <v>847.6</v>
      </c>
      <c r="D637" s="1">
        <v>950</v>
      </c>
      <c r="E637" t="str">
        <f>VLOOKUP(A637,Sheet2!A:E,5,)</f>
        <v>OLD MONK SPICED RUM</v>
      </c>
      <c r="F637" t="s">
        <v>4</v>
      </c>
      <c r="G637" s="3">
        <v>847.6</v>
      </c>
      <c r="H637" s="1">
        <v>950</v>
      </c>
    </row>
    <row r="638" spans="1:8" x14ac:dyDescent="0.35">
      <c r="A638" s="2" t="s">
        <v>704</v>
      </c>
      <c r="B638" s="2" t="s">
        <v>370</v>
      </c>
      <c r="C638" s="3">
        <v>315.08</v>
      </c>
      <c r="D638" s="1">
        <v>360</v>
      </c>
      <c r="E638" t="str">
        <f>VLOOKUP(A638,Sheet2!A:E,5,)</f>
        <v>OLD MONK SUPREME RUM</v>
      </c>
      <c r="F638" t="s">
        <v>5</v>
      </c>
      <c r="G638" s="3">
        <v>315.08</v>
      </c>
      <c r="H638" s="1">
        <v>360</v>
      </c>
    </row>
    <row r="639" spans="1:8" x14ac:dyDescent="0.35">
      <c r="A639" s="2" t="s">
        <v>705</v>
      </c>
      <c r="B639" s="2" t="s">
        <v>369</v>
      </c>
      <c r="C639" s="3">
        <v>610.15</v>
      </c>
      <c r="D639" s="1">
        <v>690</v>
      </c>
      <c r="E639" t="str">
        <f>VLOOKUP(A639,Sheet2!A:E,5,)</f>
        <v>OLD MONK SUPREME RUM</v>
      </c>
      <c r="F639" t="s">
        <v>4</v>
      </c>
      <c r="G639" s="3">
        <v>610.15</v>
      </c>
      <c r="H639" s="1">
        <v>690</v>
      </c>
    </row>
    <row r="640" spans="1:8" x14ac:dyDescent="0.35">
      <c r="A640" s="2" t="s">
        <v>706</v>
      </c>
      <c r="B640" s="2" t="s">
        <v>368</v>
      </c>
      <c r="C640" s="3">
        <v>133.09</v>
      </c>
      <c r="D640" s="1">
        <v>150</v>
      </c>
      <c r="E640" t="str">
        <f>VLOOKUP(A640,Sheet2!A:E,5,)</f>
        <v>OLD MONK WHITE RUM</v>
      </c>
      <c r="F640" t="s">
        <v>374</v>
      </c>
      <c r="G640" s="3">
        <v>133.09</v>
      </c>
      <c r="H640" s="1">
        <v>150</v>
      </c>
    </row>
    <row r="641" spans="1:8" x14ac:dyDescent="0.35">
      <c r="A641" s="2" t="s">
        <v>707</v>
      </c>
      <c r="B641" s="2" t="s">
        <v>368</v>
      </c>
      <c r="C641" s="3">
        <v>177.37</v>
      </c>
      <c r="D641" s="1">
        <v>200</v>
      </c>
      <c r="E641" t="str">
        <f>VLOOKUP(A641,Sheet2!A:E,5,)</f>
        <v>OLD MONK WHITE RUM</v>
      </c>
      <c r="F641" t="s">
        <v>374</v>
      </c>
      <c r="G641" s="3">
        <v>177.37</v>
      </c>
      <c r="H641" s="1">
        <v>200</v>
      </c>
    </row>
    <row r="642" spans="1:8" x14ac:dyDescent="0.35">
      <c r="A642" s="2" t="s">
        <v>225</v>
      </c>
      <c r="B642" s="2" t="s">
        <v>370</v>
      </c>
      <c r="C642" s="3">
        <v>311.98</v>
      </c>
      <c r="D642" s="1">
        <v>350</v>
      </c>
      <c r="E642" t="str">
        <f>VLOOKUP(A642,Sheet2!A:E,5,)</f>
        <v>OLD MONK WHITE RUM</v>
      </c>
      <c r="F642" t="s">
        <v>5</v>
      </c>
      <c r="G642" s="3">
        <v>311.98</v>
      </c>
      <c r="H642" s="1">
        <v>350</v>
      </c>
    </row>
    <row r="643" spans="1:8" x14ac:dyDescent="0.35">
      <c r="A643" s="2" t="s">
        <v>708</v>
      </c>
      <c r="B643" s="2" t="s">
        <v>369</v>
      </c>
      <c r="C643" s="3">
        <v>495.05</v>
      </c>
      <c r="D643" s="1">
        <v>560</v>
      </c>
      <c r="E643" t="str">
        <f>VLOOKUP(A643,Sheet2!A:E,5,)</f>
        <v>OLD MONK WHITE RUM</v>
      </c>
      <c r="F643" t="s">
        <v>4</v>
      </c>
      <c r="G643" s="3">
        <v>495.05</v>
      </c>
      <c r="H643" s="1">
        <v>560</v>
      </c>
    </row>
    <row r="644" spans="1:8" x14ac:dyDescent="0.35">
      <c r="A644" s="2" t="s">
        <v>709</v>
      </c>
      <c r="B644" s="2" t="s">
        <v>369</v>
      </c>
      <c r="C644" s="3">
        <v>634.30999999999995</v>
      </c>
      <c r="D644" s="1">
        <v>720</v>
      </c>
      <c r="E644" t="str">
        <f>VLOOKUP(A644,Sheet2!A:E,5,)</f>
        <v>OLD MONK WHITE RUM</v>
      </c>
      <c r="F644" t="s">
        <v>4</v>
      </c>
      <c r="G644" s="3">
        <v>634.30999999999995</v>
      </c>
      <c r="H644" s="1">
        <v>720</v>
      </c>
    </row>
    <row r="645" spans="1:8" x14ac:dyDescent="0.35">
      <c r="A645" s="2" t="s">
        <v>710</v>
      </c>
      <c r="B645" s="2" t="s">
        <v>368</v>
      </c>
      <c r="C645" s="3">
        <v>120.94</v>
      </c>
      <c r="D645" s="1">
        <v>140</v>
      </c>
      <c r="E645" t="str">
        <f>VLOOKUP(A645,Sheet2!A:E,5,)</f>
        <v>OLD MONK XXX SELECT RUM</v>
      </c>
      <c r="F645" t="s">
        <v>374</v>
      </c>
      <c r="G645" s="3">
        <v>120.94</v>
      </c>
      <c r="H645" s="1">
        <v>140</v>
      </c>
    </row>
    <row r="646" spans="1:8" x14ac:dyDescent="0.35">
      <c r="A646" s="2" t="s">
        <v>711</v>
      </c>
      <c r="B646" s="2" t="s">
        <v>370</v>
      </c>
      <c r="C646" s="3">
        <v>250.24</v>
      </c>
      <c r="D646" s="1">
        <v>290</v>
      </c>
      <c r="E646" t="str">
        <f>VLOOKUP(A646,Sheet2!A:E,5,)</f>
        <v>OLD MONK XXX SELECT RUM</v>
      </c>
      <c r="F646" t="s">
        <v>5</v>
      </c>
      <c r="G646" s="3">
        <v>250.24</v>
      </c>
      <c r="H646" s="1">
        <v>290</v>
      </c>
    </row>
    <row r="647" spans="1:8" x14ac:dyDescent="0.35">
      <c r="A647" s="2" t="s">
        <v>712</v>
      </c>
      <c r="B647" s="2" t="s">
        <v>369</v>
      </c>
      <c r="C647" s="3">
        <v>480.59</v>
      </c>
      <c r="D647" s="1">
        <v>540</v>
      </c>
      <c r="E647" t="str">
        <f>VLOOKUP(A647,Sheet2!A:E,5,)</f>
        <v>OLD MONK XXX SELECT RUM</v>
      </c>
      <c r="F647" t="s">
        <v>4</v>
      </c>
      <c r="G647" s="3">
        <v>480.59</v>
      </c>
      <c r="H647" s="1">
        <v>540</v>
      </c>
    </row>
    <row r="648" spans="1:8" x14ac:dyDescent="0.35">
      <c r="A648" s="2" t="s">
        <v>226</v>
      </c>
      <c r="B648" s="2" t="s">
        <v>368</v>
      </c>
      <c r="C648" s="3">
        <v>148.88999999999999</v>
      </c>
      <c r="D648" s="1">
        <v>170</v>
      </c>
      <c r="E648" t="str">
        <f>VLOOKUP(A648,Sheet2!A:E,5,)</f>
        <v>ONE MORE APPLE/ORANGE</v>
      </c>
      <c r="F648" t="s">
        <v>374</v>
      </c>
      <c r="G648" s="3">
        <v>148.88999999999999</v>
      </c>
      <c r="H648" s="1">
        <v>170</v>
      </c>
    </row>
    <row r="649" spans="1:8" x14ac:dyDescent="0.35">
      <c r="A649" s="2" t="s">
        <v>227</v>
      </c>
      <c r="B649" s="2" t="s">
        <v>370</v>
      </c>
      <c r="C649" s="3">
        <v>295.81</v>
      </c>
      <c r="D649" s="1">
        <v>340</v>
      </c>
      <c r="E649" t="str">
        <f>VLOOKUP(A649,Sheet2!A:E,5,)</f>
        <v>ONE MORE APPLE/ORANGE</v>
      </c>
      <c r="F649" t="s">
        <v>5</v>
      </c>
      <c r="G649" s="3">
        <v>295.81</v>
      </c>
      <c r="H649" s="1">
        <v>340</v>
      </c>
    </row>
    <row r="650" spans="1:8" x14ac:dyDescent="0.35">
      <c r="A650" s="2" t="s">
        <v>228</v>
      </c>
      <c r="B650" s="2" t="s">
        <v>369</v>
      </c>
      <c r="C650" s="3">
        <v>581.58000000000004</v>
      </c>
      <c r="D650" s="1">
        <v>660</v>
      </c>
      <c r="E650" t="str">
        <f>VLOOKUP(A650,Sheet2!A:E,5,)</f>
        <v>ONE MORE APPLE/ORANGE</v>
      </c>
      <c r="F650" t="s">
        <v>4</v>
      </c>
      <c r="G650" s="3">
        <v>581.58000000000004</v>
      </c>
      <c r="H650" s="1">
        <v>660</v>
      </c>
    </row>
    <row r="651" spans="1:8" x14ac:dyDescent="0.35">
      <c r="A651" s="2" t="s">
        <v>229</v>
      </c>
      <c r="B651" s="2" t="s">
        <v>368</v>
      </c>
      <c r="C651" s="3">
        <v>130.01</v>
      </c>
      <c r="D651" s="1">
        <v>150</v>
      </c>
      <c r="E651" t="str">
        <f>VLOOKUP(A651,Sheet2!A:E,5,)</f>
        <v>ONE MORE CRAFT VODKA</v>
      </c>
      <c r="F651" t="s">
        <v>374</v>
      </c>
      <c r="G651" s="3">
        <v>130.01</v>
      </c>
      <c r="H651" s="1">
        <v>150</v>
      </c>
    </row>
    <row r="652" spans="1:8" x14ac:dyDescent="0.35">
      <c r="A652" s="2" t="s">
        <v>230</v>
      </c>
      <c r="B652" s="2" t="s">
        <v>370</v>
      </c>
      <c r="C652" s="3">
        <v>268.2</v>
      </c>
      <c r="D652" s="1">
        <v>310</v>
      </c>
      <c r="E652" t="str">
        <f>VLOOKUP(A652,Sheet2!A:E,5,)</f>
        <v>ONE MORE CRAFT VODKA</v>
      </c>
      <c r="F652" t="s">
        <v>5</v>
      </c>
      <c r="G652" s="3">
        <v>268.2</v>
      </c>
      <c r="H652" s="1">
        <v>310</v>
      </c>
    </row>
    <row r="653" spans="1:8" x14ac:dyDescent="0.35">
      <c r="A653" s="2" t="s">
        <v>231</v>
      </c>
      <c r="B653" s="2" t="s">
        <v>369</v>
      </c>
      <c r="C653" s="3">
        <v>516.41</v>
      </c>
      <c r="D653" s="1">
        <v>580</v>
      </c>
      <c r="E653" t="str">
        <f>VLOOKUP(A653,Sheet2!A:E,5,)</f>
        <v>ONE MORE CRAFT VODKA</v>
      </c>
      <c r="F653" t="s">
        <v>4</v>
      </c>
      <c r="G653" s="3">
        <v>516.41</v>
      </c>
      <c r="H653" s="1">
        <v>580</v>
      </c>
    </row>
    <row r="654" spans="1:8" x14ac:dyDescent="0.35">
      <c r="A654" s="2" t="s">
        <v>713</v>
      </c>
      <c r="B654" s="2" t="s">
        <v>368</v>
      </c>
      <c r="C654" s="3">
        <v>177.28</v>
      </c>
      <c r="D654" s="1">
        <v>200</v>
      </c>
      <c r="E654" t="str">
        <f>VLOOKUP(A654,Sheet2!A:E,5,)</f>
        <v>ONE MORE NEXT CRANBERRY</v>
      </c>
      <c r="F654" t="s">
        <v>374</v>
      </c>
      <c r="G654" s="3">
        <v>177.28</v>
      </c>
      <c r="H654" s="1">
        <v>200</v>
      </c>
    </row>
    <row r="655" spans="1:8" x14ac:dyDescent="0.35">
      <c r="A655" s="2" t="s">
        <v>714</v>
      </c>
      <c r="B655" s="2" t="s">
        <v>370</v>
      </c>
      <c r="C655" s="3">
        <v>352.67</v>
      </c>
      <c r="D655" s="1">
        <v>400</v>
      </c>
      <c r="E655" t="str">
        <f>VLOOKUP(A655,Sheet2!A:E,5,)</f>
        <v>ONE MORE NEXT CRANBERRY</v>
      </c>
      <c r="F655" t="s">
        <v>5</v>
      </c>
      <c r="G655" s="3">
        <v>352.67</v>
      </c>
      <c r="H655" s="1">
        <v>400</v>
      </c>
    </row>
    <row r="656" spans="1:8" x14ac:dyDescent="0.35">
      <c r="A656" s="2" t="s">
        <v>715</v>
      </c>
      <c r="B656" s="2" t="s">
        <v>369</v>
      </c>
      <c r="C656" s="3">
        <v>695.26</v>
      </c>
      <c r="D656" s="1">
        <v>780</v>
      </c>
      <c r="E656" t="str">
        <f>VLOOKUP(A656,Sheet2!A:E,5,)</f>
        <v>ONE MORE NEXT CRANBERRY</v>
      </c>
      <c r="F656" t="s">
        <v>4</v>
      </c>
      <c r="G656" s="3">
        <v>695.26</v>
      </c>
      <c r="H656" s="1">
        <v>780</v>
      </c>
    </row>
    <row r="657" spans="1:8" x14ac:dyDescent="0.35">
      <c r="A657" s="2" t="s">
        <v>716</v>
      </c>
      <c r="B657" s="2" t="s">
        <v>368</v>
      </c>
      <c r="C657" s="3">
        <v>177.24</v>
      </c>
      <c r="D657" s="1">
        <v>200</v>
      </c>
      <c r="E657" t="str">
        <f>VLOOKUP(A657,Sheet2!A:E,5,)</f>
        <v>OPM CANBERRY WHISKY</v>
      </c>
      <c r="F657" t="s">
        <v>374</v>
      </c>
      <c r="G657" s="3">
        <v>177.24</v>
      </c>
      <c r="H657" s="1">
        <v>200</v>
      </c>
    </row>
    <row r="658" spans="1:8" x14ac:dyDescent="0.35">
      <c r="A658" s="2" t="s">
        <v>716</v>
      </c>
      <c r="B658" s="2" t="s">
        <v>370</v>
      </c>
      <c r="C658" s="3">
        <v>362.58</v>
      </c>
      <c r="D658" s="1">
        <v>410</v>
      </c>
      <c r="E658" t="str">
        <f>VLOOKUP(A658,Sheet2!A:E,5,)</f>
        <v>OPM CANBERRY WHISKY</v>
      </c>
      <c r="F658" t="s">
        <v>5</v>
      </c>
      <c r="G658" s="3">
        <v>362.58</v>
      </c>
      <c r="H658" s="1">
        <v>410</v>
      </c>
    </row>
    <row r="659" spans="1:8" x14ac:dyDescent="0.35">
      <c r="A659" s="2" t="s">
        <v>716</v>
      </c>
      <c r="B659" s="2" t="s">
        <v>369</v>
      </c>
      <c r="C659" s="3">
        <v>696.49</v>
      </c>
      <c r="D659" s="1">
        <v>790</v>
      </c>
      <c r="E659" t="str">
        <f>VLOOKUP(A659,Sheet2!A:E,5,)</f>
        <v>OPM CANBERRY WHISKY</v>
      </c>
      <c r="F659" t="s">
        <v>4</v>
      </c>
      <c r="G659" s="3">
        <v>696.49</v>
      </c>
      <c r="H659" s="1">
        <v>790</v>
      </c>
    </row>
    <row r="660" spans="1:8" x14ac:dyDescent="0.35">
      <c r="A660" s="2" t="s">
        <v>717</v>
      </c>
      <c r="B660" s="2" t="s">
        <v>368</v>
      </c>
      <c r="C660" s="3">
        <v>177.24</v>
      </c>
      <c r="D660" s="1">
        <v>200</v>
      </c>
      <c r="E660" t="str">
        <f>VLOOKUP(A660,Sheet2!A:E,5,)</f>
        <v>OPM TRIPLE VODKA</v>
      </c>
      <c r="F660" t="s">
        <v>374</v>
      </c>
      <c r="G660" s="3">
        <v>177.24</v>
      </c>
      <c r="H660" s="1">
        <v>200</v>
      </c>
    </row>
    <row r="661" spans="1:8" x14ac:dyDescent="0.35">
      <c r="A661" s="2" t="s">
        <v>717</v>
      </c>
      <c r="B661" s="2" t="s">
        <v>370</v>
      </c>
      <c r="C661" s="3">
        <v>362.58</v>
      </c>
      <c r="D661" s="1">
        <v>410</v>
      </c>
      <c r="E661" t="str">
        <f>VLOOKUP(A661,Sheet2!A:E,5,)</f>
        <v>OPM TRIPLE VODKA</v>
      </c>
      <c r="F661" t="s">
        <v>5</v>
      </c>
      <c r="G661" s="3">
        <v>362.58</v>
      </c>
      <c r="H661" s="1">
        <v>410</v>
      </c>
    </row>
    <row r="662" spans="1:8" x14ac:dyDescent="0.35">
      <c r="A662" s="2" t="s">
        <v>717</v>
      </c>
      <c r="B662" s="2" t="s">
        <v>369</v>
      </c>
      <c r="C662" s="3">
        <v>695.15</v>
      </c>
      <c r="D662" s="1">
        <v>780</v>
      </c>
      <c r="E662" t="str">
        <f>VLOOKUP(A662,Sheet2!A:E,5,)</f>
        <v>OPM TRIPLE VODKA</v>
      </c>
      <c r="F662" t="s">
        <v>4</v>
      </c>
      <c r="G662" s="3">
        <v>695.15</v>
      </c>
      <c r="H662" s="1">
        <v>780</v>
      </c>
    </row>
    <row r="663" spans="1:8" x14ac:dyDescent="0.35">
      <c r="A663" s="2" t="s">
        <v>232</v>
      </c>
      <c r="B663" s="2" t="s">
        <v>369</v>
      </c>
      <c r="C663" s="3">
        <v>1196.3800000000001</v>
      </c>
      <c r="D663" s="1">
        <v>1340</v>
      </c>
      <c r="E663" t="str">
        <f>VLOOKUP(A663,Sheet2!A:E,5,)</f>
        <v>OPRAHI CABERNET MERLOT</v>
      </c>
      <c r="F663" t="s">
        <v>4</v>
      </c>
      <c r="G663" s="3">
        <v>1196.3800000000001</v>
      </c>
      <c r="H663" s="1">
        <v>1340</v>
      </c>
    </row>
    <row r="664" spans="1:8" x14ac:dyDescent="0.35">
      <c r="A664" s="2" t="s">
        <v>233</v>
      </c>
      <c r="B664" s="2" t="s">
        <v>369</v>
      </c>
      <c r="C664" s="3">
        <v>1093.2</v>
      </c>
      <c r="D664" s="1">
        <v>1230</v>
      </c>
      <c r="E664" t="str">
        <f>VLOOKUP(A664,Sheet2!A:E,5,)</f>
        <v>OPRAHI CEBERNET MERLOT WINE</v>
      </c>
      <c r="F664" t="s">
        <v>4</v>
      </c>
      <c r="G664" s="3">
        <v>1093.2</v>
      </c>
      <c r="H664" s="1">
        <v>1230</v>
      </c>
    </row>
    <row r="665" spans="1:8" x14ac:dyDescent="0.35">
      <c r="A665" s="2" t="s">
        <v>234</v>
      </c>
      <c r="B665" s="2" t="s">
        <v>369</v>
      </c>
      <c r="C665" s="3">
        <v>951.24</v>
      </c>
      <c r="D665" s="1">
        <v>1070</v>
      </c>
      <c r="E665" t="str">
        <f>VLOOKUP(A665,Sheet2!A:E,5,)</f>
        <v>OPRAHI PINOT CHARDONNAY WINE</v>
      </c>
      <c r="F665" t="s">
        <v>4</v>
      </c>
      <c r="G665" s="3">
        <v>951.24</v>
      </c>
      <c r="H665" s="1">
        <v>1070</v>
      </c>
    </row>
    <row r="666" spans="1:8" x14ac:dyDescent="0.35">
      <c r="A666" s="2" t="s">
        <v>235</v>
      </c>
      <c r="B666" s="2" t="s">
        <v>369</v>
      </c>
      <c r="C666" s="3">
        <v>1358.74</v>
      </c>
      <c r="D666" s="1">
        <v>1530</v>
      </c>
      <c r="E666" t="str">
        <f>VLOOKUP(A666,Sheet2!A:E,5,)</f>
        <v>OUTBACK JACK CAVERNET MARLOT</v>
      </c>
      <c r="F666" t="s">
        <v>4</v>
      </c>
      <c r="G666" s="3">
        <v>1358.74</v>
      </c>
      <c r="H666" s="1">
        <v>1530</v>
      </c>
    </row>
    <row r="667" spans="1:8" x14ac:dyDescent="0.35">
      <c r="A667" s="2" t="s">
        <v>718</v>
      </c>
      <c r="B667" s="2" t="s">
        <v>369</v>
      </c>
      <c r="C667" s="3">
        <v>1367.95</v>
      </c>
      <c r="D667" s="1">
        <v>1540</v>
      </c>
      <c r="E667" t="str">
        <f>VLOOKUP(A667,Sheet2!A:E,5,)</f>
        <v>OUTBACK JACK CHARDONNAY</v>
      </c>
      <c r="F667" t="s">
        <v>4</v>
      </c>
      <c r="G667" s="3">
        <v>1367.95</v>
      </c>
      <c r="H667" s="1">
        <v>1540</v>
      </c>
    </row>
    <row r="668" spans="1:8" x14ac:dyDescent="0.35">
      <c r="A668" s="2" t="s">
        <v>236</v>
      </c>
      <c r="B668" s="2" t="s">
        <v>369</v>
      </c>
      <c r="C668" s="3">
        <v>1226.82</v>
      </c>
      <c r="D668" s="1">
        <v>1380</v>
      </c>
      <c r="E668" t="str">
        <f>VLOOKUP(A668,Sheet2!A:E,5,)</f>
        <v>PASSPORT BLENDED WHISKY</v>
      </c>
      <c r="F668" t="s">
        <v>4</v>
      </c>
      <c r="G668" s="3">
        <v>1226.82</v>
      </c>
      <c r="H668" s="1">
        <v>1380</v>
      </c>
    </row>
    <row r="669" spans="1:8" x14ac:dyDescent="0.35">
      <c r="A669" s="2" t="s">
        <v>719</v>
      </c>
      <c r="B669" s="2" t="s">
        <v>369</v>
      </c>
      <c r="C669" s="3">
        <v>7828.48</v>
      </c>
      <c r="D669" s="1">
        <v>8770</v>
      </c>
      <c r="E669" t="str">
        <f>VLOOKUP(A669,Sheet2!A:E,5,)</f>
        <v>PATRON ANEJO</v>
      </c>
      <c r="F669" t="s">
        <v>4</v>
      </c>
      <c r="G669" s="3">
        <v>7828.48</v>
      </c>
      <c r="H669" s="1">
        <v>8770</v>
      </c>
    </row>
    <row r="670" spans="1:8" x14ac:dyDescent="0.35">
      <c r="A670" s="2" t="s">
        <v>720</v>
      </c>
      <c r="B670" s="2" t="s">
        <v>369</v>
      </c>
      <c r="C670" s="3">
        <v>5694.26</v>
      </c>
      <c r="D670" s="1">
        <v>6380</v>
      </c>
      <c r="E670" t="str">
        <f>VLOOKUP(A670,Sheet2!A:E,5,)</f>
        <v>PATRON REPOSADO</v>
      </c>
      <c r="F670" t="s">
        <v>4</v>
      </c>
      <c r="G670" s="3">
        <v>5694.26</v>
      </c>
      <c r="H670" s="1">
        <v>6380</v>
      </c>
    </row>
    <row r="671" spans="1:8" x14ac:dyDescent="0.35">
      <c r="A671" s="2" t="s">
        <v>237</v>
      </c>
      <c r="B671" s="2" t="s">
        <v>368</v>
      </c>
      <c r="C671" s="3">
        <v>1574.19</v>
      </c>
      <c r="D671" s="1">
        <v>1770</v>
      </c>
      <c r="E671" t="str">
        <f>VLOOKUP(A671,Sheet2!A:E,5,)</f>
        <v>PATRON REPOSADO TEQUILA</v>
      </c>
      <c r="F671" t="s">
        <v>374</v>
      </c>
      <c r="G671" s="3">
        <v>1574.19</v>
      </c>
      <c r="H671" s="1">
        <v>1770</v>
      </c>
    </row>
    <row r="672" spans="1:8" x14ac:dyDescent="0.35">
      <c r="A672" s="2" t="s">
        <v>721</v>
      </c>
      <c r="B672" s="2" t="s">
        <v>369</v>
      </c>
      <c r="C672" s="3">
        <v>5168.07</v>
      </c>
      <c r="D672" s="1">
        <v>5790</v>
      </c>
      <c r="E672" t="str">
        <f>VLOOKUP(A672,Sheet2!A:E,5,)</f>
        <v>PATRON SILVER</v>
      </c>
      <c r="F672" t="s">
        <v>4</v>
      </c>
      <c r="G672" s="3">
        <v>5168.07</v>
      </c>
      <c r="H672" s="1">
        <v>5790</v>
      </c>
    </row>
    <row r="673" spans="1:8" x14ac:dyDescent="0.35">
      <c r="A673" s="2" t="s">
        <v>722</v>
      </c>
      <c r="B673" s="2" t="s">
        <v>369</v>
      </c>
      <c r="C673" s="3">
        <v>2430.37</v>
      </c>
      <c r="D673" s="1">
        <v>2730</v>
      </c>
      <c r="E673" t="str">
        <f>VLOOKUP(A673,Sheet2!A:E,5,)</f>
        <v>PAUL JOHN INDIAN SINGLE MALT WHI NIRVANA</v>
      </c>
      <c r="F673" t="s">
        <v>4</v>
      </c>
      <c r="G673" s="3">
        <v>2430.37</v>
      </c>
      <c r="H673" s="1">
        <v>2730</v>
      </c>
    </row>
    <row r="674" spans="1:8" x14ac:dyDescent="0.35">
      <c r="A674" s="2" t="s">
        <v>723</v>
      </c>
      <c r="B674" s="2" t="s">
        <v>369</v>
      </c>
      <c r="C674" s="3">
        <v>3788.66</v>
      </c>
      <c r="D674" s="1">
        <v>4250</v>
      </c>
      <c r="E674" t="str">
        <f>VLOOKUP(A674,Sheet2!A:E,5,)</f>
        <v>PAUL JOHN INDIAN SINGLE MALT WHISKY</v>
      </c>
      <c r="F674" t="s">
        <v>4</v>
      </c>
      <c r="G674" s="3">
        <v>3788.66</v>
      </c>
      <c r="H674" s="1">
        <v>4250</v>
      </c>
    </row>
    <row r="675" spans="1:8" x14ac:dyDescent="0.35">
      <c r="A675" s="2" t="s">
        <v>238</v>
      </c>
      <c r="B675" s="2" t="s">
        <v>369</v>
      </c>
      <c r="C675" s="3">
        <v>1415.08</v>
      </c>
      <c r="D675" s="1">
        <v>1590</v>
      </c>
      <c r="E675" t="str">
        <f>VLOOKUP(A675,Sheet2!A:E,5,)</f>
        <v>PELICAN SOUL PINOTAGE</v>
      </c>
      <c r="F675" t="s">
        <v>4</v>
      </c>
      <c r="G675" s="3">
        <v>1415.08</v>
      </c>
      <c r="H675" s="1">
        <v>1590</v>
      </c>
    </row>
    <row r="676" spans="1:8" x14ac:dyDescent="0.35">
      <c r="A676" s="2" t="s">
        <v>724</v>
      </c>
      <c r="B676" s="2" t="s">
        <v>369</v>
      </c>
      <c r="C676" s="3">
        <v>1831.11</v>
      </c>
      <c r="D676" s="1">
        <v>2060</v>
      </c>
      <c r="E676" t="str">
        <f>VLOOKUP(A676,Sheet2!A:E,5,)</f>
        <v>PENFOLDS KOONUNGA HILL CHARDONNAY</v>
      </c>
      <c r="F676" t="s">
        <v>4</v>
      </c>
      <c r="G676" s="3">
        <v>1831.11</v>
      </c>
      <c r="H676" s="1">
        <v>2060</v>
      </c>
    </row>
    <row r="677" spans="1:8" x14ac:dyDescent="0.35">
      <c r="A677" s="2" t="s">
        <v>725</v>
      </c>
      <c r="B677" s="2" t="s">
        <v>369</v>
      </c>
      <c r="C677" s="3">
        <v>2253</v>
      </c>
      <c r="D677" s="1">
        <v>2530</v>
      </c>
      <c r="E677" t="str">
        <f>VLOOKUP(A677,Sheet2!A:E,5,)</f>
        <v>POISON BLACN/ ROUGH WINE</v>
      </c>
      <c r="F677" t="s">
        <v>4</v>
      </c>
      <c r="G677" s="3">
        <v>2253</v>
      </c>
      <c r="H677" s="1">
        <v>2530</v>
      </c>
    </row>
    <row r="678" spans="1:8" x14ac:dyDescent="0.35">
      <c r="A678" s="2" t="s">
        <v>726</v>
      </c>
      <c r="B678" s="2" t="s">
        <v>368</v>
      </c>
      <c r="C678" s="3">
        <v>139.77000000000001</v>
      </c>
      <c r="D678" s="1">
        <v>160</v>
      </c>
      <c r="E678" t="str">
        <f>VLOOKUP(A678,Sheet2!A:E,5,)</f>
        <v>POLO GRAIN WHISKY</v>
      </c>
      <c r="F678" t="s">
        <v>374</v>
      </c>
      <c r="G678" s="3">
        <v>139.77000000000001</v>
      </c>
      <c r="H678" s="1">
        <v>160</v>
      </c>
    </row>
    <row r="679" spans="1:8" x14ac:dyDescent="0.35">
      <c r="A679" s="2" t="s">
        <v>727</v>
      </c>
      <c r="B679" s="2" t="s">
        <v>369</v>
      </c>
      <c r="C679" s="3">
        <v>2440</v>
      </c>
      <c r="D679" s="1">
        <v>2740</v>
      </c>
      <c r="E679" t="str">
        <f>VLOOKUP(A679,Sheet2!A:E,5,)</f>
        <v>PONSON ROUEL</v>
      </c>
      <c r="F679" t="s">
        <v>4</v>
      </c>
      <c r="G679" s="3">
        <v>2440</v>
      </c>
      <c r="H679" s="1">
        <v>2740</v>
      </c>
    </row>
    <row r="680" spans="1:8" x14ac:dyDescent="0.35">
      <c r="A680" s="2" t="s">
        <v>728</v>
      </c>
      <c r="B680" s="2" t="s">
        <v>370</v>
      </c>
      <c r="C680" s="3">
        <v>142</v>
      </c>
      <c r="D680" s="1">
        <v>160</v>
      </c>
      <c r="E680" t="str">
        <f>VLOOKUP(A680,Sheet2!A:E,5,)</f>
        <v>PORT SIDE</v>
      </c>
      <c r="F680" t="s">
        <v>5</v>
      </c>
      <c r="G680" s="3">
        <v>142</v>
      </c>
      <c r="H680" s="1">
        <v>160</v>
      </c>
    </row>
    <row r="681" spans="1:8" x14ac:dyDescent="0.35">
      <c r="A681" s="2" t="s">
        <v>239</v>
      </c>
      <c r="B681" s="2" t="s">
        <v>370</v>
      </c>
      <c r="C681" s="3">
        <v>539.57000000000005</v>
      </c>
      <c r="D681" s="1">
        <v>610</v>
      </c>
      <c r="E681" t="str">
        <f>VLOOKUP(A681,Sheet2!A:E,5,)</f>
        <v>PUNTER /DAMSO SOJU</v>
      </c>
      <c r="F681" t="s">
        <v>5</v>
      </c>
      <c r="G681" s="3">
        <v>539.57000000000005</v>
      </c>
      <c r="H681" s="1">
        <v>610</v>
      </c>
    </row>
    <row r="682" spans="1:8" x14ac:dyDescent="0.35">
      <c r="A682" s="2" t="s">
        <v>729</v>
      </c>
      <c r="B682" s="2" t="s">
        <v>368</v>
      </c>
      <c r="C682" s="3">
        <v>102.75</v>
      </c>
      <c r="D682" s="1">
        <v>120</v>
      </c>
      <c r="E682" t="str">
        <f>VLOOKUP(A682,Sheet2!A:E,5,)</f>
        <v>RAFFLES GREEN APPLE VODKA</v>
      </c>
      <c r="F682" t="s">
        <v>374</v>
      </c>
      <c r="G682" s="3">
        <v>102.75</v>
      </c>
      <c r="H682" s="1">
        <v>120</v>
      </c>
    </row>
    <row r="683" spans="1:8" x14ac:dyDescent="0.35">
      <c r="A683" s="2" t="s">
        <v>240</v>
      </c>
      <c r="B683" s="2" t="s">
        <v>369</v>
      </c>
      <c r="C683" s="3">
        <v>9471.41</v>
      </c>
      <c r="D683" s="1">
        <v>10610</v>
      </c>
      <c r="E683" t="str">
        <f>VLOOKUP(A683,Sheet2!A:E,5,)</f>
        <v>RAMPUR ASAVA</v>
      </c>
      <c r="F683" t="s">
        <v>4</v>
      </c>
      <c r="G683" s="3">
        <v>9471.41</v>
      </c>
      <c r="H683" s="1">
        <v>10610</v>
      </c>
    </row>
    <row r="684" spans="1:8" x14ac:dyDescent="0.35">
      <c r="A684" s="2" t="s">
        <v>241</v>
      </c>
      <c r="B684" s="2" t="s">
        <v>369</v>
      </c>
      <c r="C684" s="3">
        <v>1355.53</v>
      </c>
      <c r="D684" s="1">
        <v>1520</v>
      </c>
      <c r="E684" t="str">
        <f>VLOOKUP(A684,Sheet2!A:E,5,)</f>
        <v>RASA SYRAH RED WINE</v>
      </c>
      <c r="F684" t="s">
        <v>4</v>
      </c>
      <c r="G684" s="3">
        <v>1355.53</v>
      </c>
      <c r="H684" s="1">
        <v>1520</v>
      </c>
    </row>
    <row r="685" spans="1:8" x14ac:dyDescent="0.35">
      <c r="A685" s="2" t="s">
        <v>242</v>
      </c>
      <c r="B685" s="2" t="s">
        <v>368</v>
      </c>
      <c r="C685" s="3">
        <v>215.58</v>
      </c>
      <c r="D685" s="1">
        <v>250</v>
      </c>
      <c r="E685" t="str">
        <f>VLOOKUP(A685,Sheet2!A:E,5,)</f>
        <v>R CHALLENGE</v>
      </c>
      <c r="F685" t="s">
        <v>374</v>
      </c>
      <c r="G685" s="3">
        <v>215.58</v>
      </c>
      <c r="H685" s="1">
        <v>250</v>
      </c>
    </row>
    <row r="686" spans="1:8" x14ac:dyDescent="0.35">
      <c r="A686" s="2" t="s">
        <v>730</v>
      </c>
      <c r="B686" s="2" t="s">
        <v>370</v>
      </c>
      <c r="C686" s="3">
        <v>429.22</v>
      </c>
      <c r="D686" s="1">
        <v>490</v>
      </c>
      <c r="E686" t="str">
        <f>VLOOKUP(A686,Sheet2!A:E,5,)</f>
        <v>R CHALLENGE (AMERICAN)</v>
      </c>
      <c r="F686" t="s">
        <v>5</v>
      </c>
      <c r="G686" s="3">
        <v>429.22</v>
      </c>
      <c r="H686" s="1">
        <v>490</v>
      </c>
    </row>
    <row r="687" spans="1:8" x14ac:dyDescent="0.35">
      <c r="A687" s="2" t="s">
        <v>243</v>
      </c>
      <c r="B687" s="2" t="s">
        <v>369</v>
      </c>
      <c r="C687" s="3">
        <v>838.41</v>
      </c>
      <c r="D687" s="1">
        <v>940</v>
      </c>
      <c r="E687" t="str">
        <f>VLOOKUP(A687,Sheet2!A:E,5,)</f>
        <v>R CHALLENGE (AMERICAN)</v>
      </c>
      <c r="F687" t="s">
        <v>4</v>
      </c>
      <c r="G687" s="3">
        <v>838.41</v>
      </c>
      <c r="H687" s="1">
        <v>940</v>
      </c>
    </row>
    <row r="688" spans="1:8" x14ac:dyDescent="0.35">
      <c r="A688" s="2" t="s">
        <v>244</v>
      </c>
      <c r="B688" s="2" t="s">
        <v>371</v>
      </c>
      <c r="C688" s="3">
        <v>107.71</v>
      </c>
      <c r="D688" s="1">
        <v>130</v>
      </c>
      <c r="E688" t="str">
        <f>VLOOKUP(A688,Sheet2!A:E,5,)</f>
        <v>R CHALLENGE</v>
      </c>
      <c r="F688" t="s">
        <v>376</v>
      </c>
      <c r="G688" s="3">
        <v>107.71</v>
      </c>
      <c r="H688" s="1">
        <v>130</v>
      </c>
    </row>
    <row r="689" spans="1:8" x14ac:dyDescent="0.35">
      <c r="A689" s="2" t="s">
        <v>731</v>
      </c>
      <c r="B689" s="2" t="s">
        <v>368</v>
      </c>
      <c r="C689" s="3">
        <v>158.69999999999999</v>
      </c>
      <c r="D689" s="1">
        <v>180</v>
      </c>
      <c r="E689" t="str">
        <f>VLOOKUP(A689,Sheet2!A:E,5,)</f>
        <v>R CHALLENGE CLASSIC PREMIUM WHISKY</v>
      </c>
      <c r="F689" t="s">
        <v>374</v>
      </c>
      <c r="G689" s="3">
        <v>158.69999999999999</v>
      </c>
      <c r="H689" s="1">
        <v>180</v>
      </c>
    </row>
    <row r="690" spans="1:8" x14ac:dyDescent="0.35">
      <c r="A690" s="2" t="s">
        <v>731</v>
      </c>
      <c r="B690" s="2" t="s">
        <v>370</v>
      </c>
      <c r="C690" s="3">
        <v>305.64999999999998</v>
      </c>
      <c r="D690" s="1">
        <v>350</v>
      </c>
      <c r="E690" t="str">
        <f>VLOOKUP(A690,Sheet2!A:E,5,)</f>
        <v>R CHALLENGE CLASSIC PREMIUM WHISKY</v>
      </c>
      <c r="F690" t="s">
        <v>5</v>
      </c>
      <c r="G690" s="3">
        <v>305.64999999999998</v>
      </c>
      <c r="H690" s="1">
        <v>350</v>
      </c>
    </row>
    <row r="691" spans="1:8" x14ac:dyDescent="0.35">
      <c r="A691" s="2" t="s">
        <v>245</v>
      </c>
      <c r="B691" s="2" t="s">
        <v>369</v>
      </c>
      <c r="C691" s="3">
        <v>591.12</v>
      </c>
      <c r="D691" s="1">
        <v>670</v>
      </c>
      <c r="E691" t="str">
        <f>VLOOKUP(A691,Sheet2!A:E,5,)</f>
        <v>R CHALLENGE CLASSIC PREMIUM WHISKY</v>
      </c>
      <c r="F691" t="s">
        <v>4</v>
      </c>
      <c r="G691" s="3">
        <v>591.12</v>
      </c>
      <c r="H691" s="1">
        <v>670</v>
      </c>
    </row>
    <row r="692" spans="1:8" x14ac:dyDescent="0.35">
      <c r="A692" s="2" t="s">
        <v>246</v>
      </c>
      <c r="B692" s="2" t="s">
        <v>371</v>
      </c>
      <c r="C692" s="3">
        <v>80.17</v>
      </c>
      <c r="D692" s="1">
        <v>90</v>
      </c>
      <c r="E692" t="str">
        <f>VLOOKUP(A692,Sheet2!A:E,5,)</f>
        <v>R CHALLENGE CLASSIC PREMIUM WHISKY</v>
      </c>
      <c r="F692" t="s">
        <v>376</v>
      </c>
      <c r="G692" s="3">
        <v>80.17</v>
      </c>
      <c r="H692" s="1">
        <v>90</v>
      </c>
    </row>
    <row r="693" spans="1:8" x14ac:dyDescent="0.35">
      <c r="A693" s="2" t="s">
        <v>247</v>
      </c>
      <c r="B693" s="2" t="s">
        <v>369</v>
      </c>
      <c r="C693" s="3">
        <v>314.52</v>
      </c>
      <c r="D693" s="1">
        <v>360</v>
      </c>
      <c r="E693" t="str">
        <f>VLOOKUP(A693,Sheet2!A:E,5,)</f>
        <v>R CHALLENGE PLAY WHISKY</v>
      </c>
      <c r="F693" t="s">
        <v>4</v>
      </c>
      <c r="G693" s="3">
        <v>314.52</v>
      </c>
      <c r="H693" s="1">
        <v>360</v>
      </c>
    </row>
    <row r="694" spans="1:8" x14ac:dyDescent="0.35">
      <c r="A694" s="2" t="s">
        <v>732</v>
      </c>
      <c r="B694" s="2" t="s">
        <v>368</v>
      </c>
      <c r="C694" s="3">
        <v>102.74</v>
      </c>
      <c r="D694" s="1">
        <v>120</v>
      </c>
      <c r="E694" t="str">
        <f>VLOOKUP(A694,Sheet2!A:E,5,)</f>
        <v>RED RUSSIAN VODKA/APPLE</v>
      </c>
      <c r="F694" t="s">
        <v>374</v>
      </c>
      <c r="G694" s="3">
        <v>102.74</v>
      </c>
      <c r="H694" s="1">
        <v>120</v>
      </c>
    </row>
    <row r="695" spans="1:8" x14ac:dyDescent="0.35">
      <c r="A695" s="2" t="s">
        <v>248</v>
      </c>
      <c r="B695" s="2" t="s">
        <v>367</v>
      </c>
      <c r="C695" s="3">
        <v>9278.5</v>
      </c>
      <c r="D695" s="1">
        <v>10400</v>
      </c>
      <c r="E695" t="str">
        <f>VLOOKUP(A695,Sheet2!A:E,5,)</f>
        <v>REMY MARTIN COGNAC VSOP</v>
      </c>
      <c r="F695" t="s">
        <v>4</v>
      </c>
      <c r="G695" s="3">
        <v>9278.5</v>
      </c>
      <c r="H695" s="1">
        <v>10400</v>
      </c>
    </row>
    <row r="696" spans="1:8" x14ac:dyDescent="0.35">
      <c r="A696" s="2" t="s">
        <v>733</v>
      </c>
      <c r="B696" s="2" t="s">
        <v>368</v>
      </c>
      <c r="C696" s="3">
        <v>158.66999999999999</v>
      </c>
      <c r="D696" s="1">
        <v>180</v>
      </c>
      <c r="E696" t="str">
        <f>VLOOKUP(A696,Sheet2!A:E,5,)</f>
        <v>R GREEN CLASSIC BLENDED WHY</v>
      </c>
      <c r="F696" t="s">
        <v>374</v>
      </c>
      <c r="G696" s="3">
        <v>158.66999999999999</v>
      </c>
      <c r="H696" s="1">
        <v>180</v>
      </c>
    </row>
    <row r="697" spans="1:8" x14ac:dyDescent="0.35">
      <c r="A697" s="2" t="s">
        <v>733</v>
      </c>
      <c r="B697" s="2" t="s">
        <v>370</v>
      </c>
      <c r="C697" s="3">
        <v>305.68</v>
      </c>
      <c r="D697" s="1">
        <v>350</v>
      </c>
      <c r="E697" t="str">
        <f>VLOOKUP(A697,Sheet2!A:E,5,)</f>
        <v>R GREEN CLASSIC BLENDED WHY</v>
      </c>
      <c r="F697" t="s">
        <v>5</v>
      </c>
      <c r="G697" s="3">
        <v>305.68</v>
      </c>
      <c r="H697" s="1">
        <v>350</v>
      </c>
    </row>
    <row r="698" spans="1:8" x14ac:dyDescent="0.35">
      <c r="A698" s="2" t="s">
        <v>733</v>
      </c>
      <c r="B698" s="2" t="s">
        <v>369</v>
      </c>
      <c r="C698" s="3">
        <v>591.11</v>
      </c>
      <c r="D698" s="1">
        <v>670</v>
      </c>
      <c r="E698" t="str">
        <f>VLOOKUP(A698,Sheet2!A:E,5,)</f>
        <v>R GREEN CLASSIC BLENDED WHY</v>
      </c>
      <c r="F698" t="s">
        <v>4</v>
      </c>
      <c r="G698" s="3">
        <v>591.11</v>
      </c>
      <c r="H698" s="1">
        <v>670</v>
      </c>
    </row>
    <row r="699" spans="1:8" x14ac:dyDescent="0.35">
      <c r="A699" s="2" t="s">
        <v>249</v>
      </c>
      <c r="B699" s="2" t="s">
        <v>371</v>
      </c>
      <c r="C699" s="3">
        <v>79.34</v>
      </c>
      <c r="D699" s="1">
        <v>90</v>
      </c>
      <c r="E699" t="str">
        <f>VLOOKUP(A699,Sheet2!A:E,5,)</f>
        <v>R GREEN CLASSIC BLENDED WHY</v>
      </c>
      <c r="F699" t="s">
        <v>376</v>
      </c>
      <c r="G699" s="3">
        <v>79.34</v>
      </c>
      <c r="H699" s="1">
        <v>90</v>
      </c>
    </row>
    <row r="700" spans="1:8" x14ac:dyDescent="0.35">
      <c r="A700" s="2" t="s">
        <v>734</v>
      </c>
      <c r="B700" s="2" t="s">
        <v>373</v>
      </c>
      <c r="C700" s="3">
        <v>149.66999999999999</v>
      </c>
      <c r="D700" s="1">
        <v>170</v>
      </c>
      <c r="E700" t="str">
        <f>VLOOKUP(A700,Sheet2!A:E,5,)</f>
        <v>RIO GOLD</v>
      </c>
      <c r="F700" t="s">
        <v>375</v>
      </c>
      <c r="G700" s="3">
        <v>149.66999999999999</v>
      </c>
      <c r="H700" s="1">
        <v>170</v>
      </c>
    </row>
    <row r="701" spans="1:8" x14ac:dyDescent="0.35">
      <c r="A701" s="2" t="s">
        <v>735</v>
      </c>
      <c r="B701" s="2" t="s">
        <v>368</v>
      </c>
      <c r="C701" s="3">
        <v>120.87</v>
      </c>
      <c r="D701" s="1">
        <v>140</v>
      </c>
      <c r="E701" t="str">
        <f>VLOOKUP(A701,Sheet2!A:E,5,)</f>
        <v>RIPS ROYAL SUP GRAIN WHISKY</v>
      </c>
      <c r="F701" t="s">
        <v>374</v>
      </c>
      <c r="G701" s="3">
        <v>120.87</v>
      </c>
      <c r="H701" s="1">
        <v>140</v>
      </c>
    </row>
    <row r="702" spans="1:8" x14ac:dyDescent="0.35">
      <c r="A702" s="2" t="s">
        <v>250</v>
      </c>
      <c r="B702" s="2" t="s">
        <v>370</v>
      </c>
      <c r="C702" s="3">
        <v>250.14</v>
      </c>
      <c r="D702" s="1">
        <v>290</v>
      </c>
      <c r="E702" t="str">
        <f>VLOOKUP(A702,Sheet2!A:E,5,)</f>
        <v>RIPS ROYAL SUP GRAIN WHISKY</v>
      </c>
      <c r="F702" t="s">
        <v>5</v>
      </c>
      <c r="G702" s="3">
        <v>250.14</v>
      </c>
      <c r="H702" s="1">
        <v>290</v>
      </c>
    </row>
    <row r="703" spans="1:8" x14ac:dyDescent="0.35">
      <c r="A703" s="2" t="s">
        <v>736</v>
      </c>
      <c r="B703" s="2" t="s">
        <v>369</v>
      </c>
      <c r="C703" s="3">
        <v>480.28</v>
      </c>
      <c r="D703" s="1">
        <v>540</v>
      </c>
      <c r="E703" t="str">
        <f>VLOOKUP(A703,Sheet2!A:E,5,)</f>
        <v>RIPS ROYAL SUP GRAIN WHISKY</v>
      </c>
      <c r="F703" t="s">
        <v>4</v>
      </c>
      <c r="G703" s="3">
        <v>480.28</v>
      </c>
      <c r="H703" s="1">
        <v>540</v>
      </c>
    </row>
    <row r="704" spans="1:8" x14ac:dyDescent="0.35">
      <c r="A704" s="2" t="s">
        <v>737</v>
      </c>
      <c r="B704" s="2" t="s">
        <v>369</v>
      </c>
      <c r="C704" s="3">
        <v>8167.02</v>
      </c>
      <c r="D704" s="1">
        <v>9150</v>
      </c>
      <c r="E704" t="str">
        <f>VLOOKUP(A704,Sheet2!A:E,5,)</f>
        <v>RISMALT WHY (8510) (RAMPUR) 6 PCS</v>
      </c>
      <c r="F704" t="s">
        <v>4</v>
      </c>
      <c r="G704" s="3">
        <v>8167.02</v>
      </c>
      <c r="H704" s="1">
        <v>9150</v>
      </c>
    </row>
    <row r="705" spans="1:8" x14ac:dyDescent="0.35">
      <c r="A705" s="2" t="s">
        <v>251</v>
      </c>
      <c r="B705" s="2" t="s">
        <v>372</v>
      </c>
      <c r="C705" s="3">
        <v>136.5</v>
      </c>
      <c r="D705" s="1">
        <v>160</v>
      </c>
      <c r="E705" t="str">
        <f>VLOOKUP(A705,Sheet2!A:E,5,)</f>
        <v>ROCKCLIMBER CRAFTED RESERVE/ELITE WINE</v>
      </c>
      <c r="F705" t="s">
        <v>374</v>
      </c>
      <c r="G705" s="3">
        <v>136.5</v>
      </c>
      <c r="H705" s="1">
        <v>160</v>
      </c>
    </row>
    <row r="706" spans="1:8" x14ac:dyDescent="0.35">
      <c r="A706" s="2" t="s">
        <v>738</v>
      </c>
      <c r="B706" s="2" t="s">
        <v>368</v>
      </c>
      <c r="C706" s="3">
        <v>205.87</v>
      </c>
      <c r="D706" s="1">
        <v>240</v>
      </c>
      <c r="E706" t="str">
        <f>VLOOKUP(A706,Sheet2!A:E,5,)</f>
        <v>ROCKFORD CLASSIC WHISKHY</v>
      </c>
      <c r="F706" t="s">
        <v>374</v>
      </c>
      <c r="G706" s="3">
        <v>205.87</v>
      </c>
      <c r="H706" s="1">
        <v>240</v>
      </c>
    </row>
    <row r="707" spans="1:8" x14ac:dyDescent="0.35">
      <c r="A707" s="2" t="s">
        <v>252</v>
      </c>
      <c r="B707" s="2" t="s">
        <v>370</v>
      </c>
      <c r="C707" s="3">
        <v>419.79</v>
      </c>
      <c r="D707" s="1">
        <v>480</v>
      </c>
      <c r="E707" t="str">
        <f>VLOOKUP(A707,Sheet2!A:E,5,)</f>
        <v>ROCKFORD CLASSIC WHISKHY</v>
      </c>
      <c r="F707" t="s">
        <v>5</v>
      </c>
      <c r="G707" s="3">
        <v>419.79</v>
      </c>
      <c r="H707" s="1">
        <v>480</v>
      </c>
    </row>
    <row r="708" spans="1:8" x14ac:dyDescent="0.35">
      <c r="A708" s="2" t="s">
        <v>253</v>
      </c>
      <c r="B708" s="2" t="s">
        <v>369</v>
      </c>
      <c r="C708" s="3">
        <v>819.4</v>
      </c>
      <c r="D708" s="1">
        <v>920</v>
      </c>
      <c r="E708" t="str">
        <f>VLOOKUP(A708,Sheet2!A:E,5,)</f>
        <v>ROCKFORD CLASSIC WHISKHY</v>
      </c>
      <c r="F708" t="s">
        <v>4</v>
      </c>
      <c r="G708" s="3">
        <v>819.4</v>
      </c>
      <c r="H708" s="1">
        <v>920</v>
      </c>
    </row>
    <row r="709" spans="1:8" x14ac:dyDescent="0.35">
      <c r="A709" s="2" t="s">
        <v>254</v>
      </c>
      <c r="B709" s="2" t="s">
        <v>371</v>
      </c>
      <c r="C709" s="3">
        <v>107.93</v>
      </c>
      <c r="D709" s="1">
        <v>130</v>
      </c>
      <c r="E709" t="str">
        <f>VLOOKUP(A709,Sheet2!A:E,5,)</f>
        <v>ROCKFORD CLASSIC WHISKHY</v>
      </c>
      <c r="F709" t="s">
        <v>376</v>
      </c>
      <c r="G709" s="3">
        <v>107.93</v>
      </c>
      <c r="H709" s="1">
        <v>130</v>
      </c>
    </row>
    <row r="710" spans="1:8" x14ac:dyDescent="0.35">
      <c r="A710" s="2" t="s">
        <v>739</v>
      </c>
      <c r="B710" s="2" t="s">
        <v>368</v>
      </c>
      <c r="C710" s="3">
        <v>292.29000000000002</v>
      </c>
      <c r="D710" s="1">
        <v>330</v>
      </c>
      <c r="E710" t="str">
        <f>VLOOKUP(A710,Sheet2!A:E,5,)</f>
        <v>ROCKFORD IMPERIAL RESERVE</v>
      </c>
      <c r="F710" t="s">
        <v>374</v>
      </c>
      <c r="G710" s="3">
        <v>292.29000000000002</v>
      </c>
      <c r="H710" s="1">
        <v>330</v>
      </c>
    </row>
    <row r="711" spans="1:8" x14ac:dyDescent="0.35">
      <c r="A711" s="2" t="s">
        <v>740</v>
      </c>
      <c r="B711" s="2" t="s">
        <v>370</v>
      </c>
      <c r="C711" s="3">
        <v>592.27</v>
      </c>
      <c r="D711" s="1">
        <v>670</v>
      </c>
      <c r="E711" t="str">
        <f>VLOOKUP(A711,Sheet2!A:E,5,)</f>
        <v>ROCKFORD IMPERIAL RESERVE</v>
      </c>
      <c r="F711" t="s">
        <v>5</v>
      </c>
      <c r="G711" s="3">
        <v>592.27</v>
      </c>
      <c r="H711" s="1">
        <v>670</v>
      </c>
    </row>
    <row r="712" spans="1:8" x14ac:dyDescent="0.35">
      <c r="A712" s="2" t="s">
        <v>741</v>
      </c>
      <c r="B712" s="2" t="s">
        <v>369</v>
      </c>
      <c r="C712" s="3">
        <v>1184.53</v>
      </c>
      <c r="D712" s="1">
        <v>1330</v>
      </c>
      <c r="E712" t="str">
        <f>VLOOKUP(A712,Sheet2!A:E,5,)</f>
        <v>ROCKFORD IMPERIAL RESERVE</v>
      </c>
      <c r="F712" t="s">
        <v>4</v>
      </c>
      <c r="G712" s="3">
        <v>1184.53</v>
      </c>
      <c r="H712" s="1">
        <v>1330</v>
      </c>
    </row>
    <row r="713" spans="1:8" x14ac:dyDescent="0.35">
      <c r="A713" s="2" t="s">
        <v>742</v>
      </c>
      <c r="B713" s="2" t="s">
        <v>368</v>
      </c>
      <c r="C713" s="3">
        <v>224.85</v>
      </c>
      <c r="D713" s="1">
        <v>260</v>
      </c>
      <c r="E713" t="str">
        <f>VLOOKUP(A713,Sheet2!A:E,5,)</f>
        <v>ROCKFORD RESERVE WHISKY</v>
      </c>
      <c r="F713" t="s">
        <v>374</v>
      </c>
      <c r="G713" s="3">
        <v>224.85</v>
      </c>
      <c r="H713" s="1">
        <v>260</v>
      </c>
    </row>
    <row r="714" spans="1:8" x14ac:dyDescent="0.35">
      <c r="A714" s="2" t="s">
        <v>742</v>
      </c>
      <c r="B714" s="2" t="s">
        <v>370</v>
      </c>
      <c r="C714" s="3">
        <v>457.57</v>
      </c>
      <c r="D714" s="1">
        <v>520</v>
      </c>
      <c r="E714" t="str">
        <f>VLOOKUP(A714,Sheet2!A:E,5,)</f>
        <v>ROCKFORD RESERVE WHISKY</v>
      </c>
      <c r="F714" t="s">
        <v>5</v>
      </c>
      <c r="G714" s="3">
        <v>457.57</v>
      </c>
      <c r="H714" s="1">
        <v>520</v>
      </c>
    </row>
    <row r="715" spans="1:8" x14ac:dyDescent="0.35">
      <c r="A715" s="2" t="s">
        <v>742</v>
      </c>
      <c r="B715" s="2" t="s">
        <v>369</v>
      </c>
      <c r="C715" s="3">
        <v>895.12</v>
      </c>
      <c r="D715" s="1">
        <v>1010</v>
      </c>
      <c r="E715" t="str">
        <f>VLOOKUP(A715,Sheet2!A:E,5,)</f>
        <v>ROCKFORD RESERVE WHISKY</v>
      </c>
      <c r="F715" t="s">
        <v>4</v>
      </c>
      <c r="G715" s="3">
        <v>895.12</v>
      </c>
      <c r="H715" s="1">
        <v>1010</v>
      </c>
    </row>
    <row r="716" spans="1:8" x14ac:dyDescent="0.35">
      <c r="A716" s="2" t="s">
        <v>255</v>
      </c>
      <c r="B716" s="2" t="s">
        <v>371</v>
      </c>
      <c r="C716" s="3">
        <v>117.42</v>
      </c>
      <c r="D716" s="1">
        <v>140</v>
      </c>
      <c r="E716" t="str">
        <f>VLOOKUP(A716,Sheet2!A:E,5,)</f>
        <v>ROCKFORD RESERVE WHISKY</v>
      </c>
      <c r="F716" t="s">
        <v>376</v>
      </c>
      <c r="G716" s="3">
        <v>117.42</v>
      </c>
      <c r="H716" s="1">
        <v>140</v>
      </c>
    </row>
    <row r="717" spans="1:8" x14ac:dyDescent="0.35">
      <c r="A717" s="2" t="s">
        <v>256</v>
      </c>
      <c r="B717" s="2" t="s">
        <v>367</v>
      </c>
      <c r="C717" s="3">
        <v>3827.99</v>
      </c>
      <c r="D717" s="1">
        <v>4290</v>
      </c>
      <c r="E717" t="str">
        <f>VLOOKUP(A717,Sheet2!A:E,5,)</f>
        <v>ROKU GIN</v>
      </c>
      <c r="F717" t="s">
        <v>4</v>
      </c>
      <c r="G717" s="3">
        <v>3827.99</v>
      </c>
      <c r="H717" s="1">
        <v>4290</v>
      </c>
    </row>
    <row r="718" spans="1:8" x14ac:dyDescent="0.35">
      <c r="A718" s="2" t="s">
        <v>743</v>
      </c>
      <c r="B718" s="2" t="s">
        <v>372</v>
      </c>
      <c r="C718" s="3">
        <v>102.74</v>
      </c>
      <c r="D718" s="1">
        <v>120</v>
      </c>
      <c r="E718" t="str">
        <f>VLOOKUP(A718,Sheet2!A:E,5,)</f>
        <v>ROMANOV APPLE VODKA</v>
      </c>
      <c r="F718" t="s">
        <v>374</v>
      </c>
      <c r="G718" s="3">
        <v>102.74</v>
      </c>
      <c r="H718" s="1">
        <v>120</v>
      </c>
    </row>
    <row r="719" spans="1:8" x14ac:dyDescent="0.35">
      <c r="A719" s="2" t="s">
        <v>257</v>
      </c>
      <c r="B719" s="2" t="s">
        <v>367</v>
      </c>
      <c r="C719" s="3">
        <v>4098.42</v>
      </c>
      <c r="D719" s="1">
        <v>4600</v>
      </c>
      <c r="E719" t="str">
        <f>VLOOKUP(A719,Sheet2!A:E,5,)</f>
        <v>RON PIET XO RUM (1PCS)</v>
      </c>
      <c r="F719" t="s">
        <v>4</v>
      </c>
      <c r="G719" s="3">
        <v>4098.42</v>
      </c>
      <c r="H719" s="1">
        <v>4600</v>
      </c>
    </row>
    <row r="720" spans="1:8" x14ac:dyDescent="0.35">
      <c r="A720" s="2" t="s">
        <v>258</v>
      </c>
      <c r="B720" s="2" t="s">
        <v>372</v>
      </c>
      <c r="C720" s="3">
        <v>234.58</v>
      </c>
      <c r="D720" s="1">
        <v>270</v>
      </c>
      <c r="E720" t="str">
        <f>VLOOKUP(A720,Sheet2!A:E,5,)</f>
        <v>ROULETTE UNPEATED PREMIUM WHISKY</v>
      </c>
      <c r="F720" t="s">
        <v>374</v>
      </c>
      <c r="G720" s="3">
        <v>234.58</v>
      </c>
      <c r="H720" s="1">
        <v>270</v>
      </c>
    </row>
    <row r="721" spans="1:8" x14ac:dyDescent="0.35">
      <c r="A721" s="2" t="s">
        <v>744</v>
      </c>
      <c r="B721" s="2" t="s">
        <v>369</v>
      </c>
      <c r="C721" s="3">
        <v>914.06</v>
      </c>
      <c r="D721" s="1">
        <v>1030</v>
      </c>
      <c r="E721" t="str">
        <f>VLOOKUP(A721,Sheet2!A:E,5,)</f>
        <v>ROULETTE UNPEATED PREMIUM WHISKY</v>
      </c>
      <c r="F721" t="s">
        <v>4</v>
      </c>
      <c r="G721" s="3">
        <v>914.06</v>
      </c>
      <c r="H721" s="1">
        <v>1030</v>
      </c>
    </row>
    <row r="722" spans="1:8" x14ac:dyDescent="0.35">
      <c r="A722" s="2" t="s">
        <v>745</v>
      </c>
      <c r="B722" s="2" t="s">
        <v>372</v>
      </c>
      <c r="C722" s="3">
        <v>167.77</v>
      </c>
      <c r="D722" s="1">
        <v>190</v>
      </c>
      <c r="E722" t="str">
        <f>VLOOKUP(A722,Sheet2!A:E,5,)</f>
        <v>ROYAL BLACK RESERVE WHISKY</v>
      </c>
      <c r="F722" t="s">
        <v>374</v>
      </c>
      <c r="G722" s="3">
        <v>167.77</v>
      </c>
      <c r="H722" s="1">
        <v>190</v>
      </c>
    </row>
    <row r="723" spans="1:8" x14ac:dyDescent="0.35">
      <c r="A723" s="2" t="s">
        <v>745</v>
      </c>
      <c r="B723" s="2" t="s">
        <v>370</v>
      </c>
      <c r="C723" s="3">
        <v>333.69</v>
      </c>
      <c r="D723" s="1">
        <v>380</v>
      </c>
      <c r="E723" t="str">
        <f>VLOOKUP(A723,Sheet2!A:E,5,)</f>
        <v>ROYAL BLACK RESERVE WHISKY</v>
      </c>
      <c r="F723" t="s">
        <v>5</v>
      </c>
      <c r="G723" s="3">
        <v>333.69</v>
      </c>
      <c r="H723" s="1">
        <v>380</v>
      </c>
    </row>
    <row r="724" spans="1:8" x14ac:dyDescent="0.35">
      <c r="A724" s="2" t="s">
        <v>745</v>
      </c>
      <c r="B724" s="2" t="s">
        <v>369</v>
      </c>
      <c r="C724" s="3">
        <v>657.37</v>
      </c>
      <c r="D724" s="1">
        <v>740</v>
      </c>
      <c r="E724" t="str">
        <f>VLOOKUP(A724,Sheet2!A:E,5,)</f>
        <v>ROYAL BLACK RESERVE WHISKY</v>
      </c>
      <c r="F724" t="s">
        <v>4</v>
      </c>
      <c r="G724" s="3">
        <v>657.37</v>
      </c>
      <c r="H724" s="1">
        <v>740</v>
      </c>
    </row>
    <row r="725" spans="1:8" x14ac:dyDescent="0.35">
      <c r="A725" s="2" t="s">
        <v>259</v>
      </c>
      <c r="B725" s="2" t="s">
        <v>369</v>
      </c>
      <c r="C725" s="3">
        <v>516.4</v>
      </c>
      <c r="D725" s="1">
        <v>580</v>
      </c>
      <c r="E725" t="str">
        <f>VLOOKUP(A725,Sheet2!A:E,5,)</f>
        <v>ROYAL BRIGADE WHISKY</v>
      </c>
      <c r="F725" t="s">
        <v>4</v>
      </c>
      <c r="G725" s="3">
        <v>516.4</v>
      </c>
      <c r="H725" s="1">
        <v>580</v>
      </c>
    </row>
    <row r="726" spans="1:8" x14ac:dyDescent="0.35">
      <c r="A726" s="2" t="s">
        <v>260</v>
      </c>
      <c r="B726" s="2" t="s">
        <v>369</v>
      </c>
      <c r="C726" s="3">
        <v>3497.72</v>
      </c>
      <c r="D726" s="1">
        <v>3920</v>
      </c>
      <c r="E726" t="str">
        <f>VLOOKUP(A726,Sheet2!A:E,5,)</f>
        <v>ROYAL SAINTA EMILION</v>
      </c>
      <c r="F726" t="s">
        <v>4</v>
      </c>
      <c r="G726" s="3">
        <v>3497.72</v>
      </c>
      <c r="H726" s="1">
        <v>3920</v>
      </c>
    </row>
    <row r="727" spans="1:8" x14ac:dyDescent="0.35">
      <c r="A727" s="2" t="s">
        <v>261</v>
      </c>
      <c r="B727" s="2" t="s">
        <v>367</v>
      </c>
      <c r="C727" s="3">
        <v>11207.35</v>
      </c>
      <c r="D727" s="1">
        <v>12560</v>
      </c>
      <c r="E727" t="str">
        <f>VLOOKUP(A727,Sheet2!A:E,5,)</f>
        <v>ROYAL SALUTE SCOTCH WHISKY</v>
      </c>
      <c r="F727" t="s">
        <v>4</v>
      </c>
      <c r="G727" s="3">
        <v>11207.35</v>
      </c>
      <c r="H727" s="1">
        <v>12560</v>
      </c>
    </row>
    <row r="728" spans="1:8" x14ac:dyDescent="0.35">
      <c r="A728" s="2" t="s">
        <v>746</v>
      </c>
      <c r="B728" s="2" t="s">
        <v>368</v>
      </c>
      <c r="C728" s="3">
        <v>156.78</v>
      </c>
      <c r="D728" s="1">
        <v>180</v>
      </c>
      <c r="E728" t="str">
        <f>VLOOKUP(A728,Sheet2!A:E,5,)</f>
        <v>ROYAL TRIPLE WHISKY</v>
      </c>
      <c r="F728" t="s">
        <v>374</v>
      </c>
      <c r="G728" s="3">
        <v>156.78</v>
      </c>
      <c r="H728" s="1">
        <v>180</v>
      </c>
    </row>
    <row r="729" spans="1:8" x14ac:dyDescent="0.35">
      <c r="A729" s="2" t="s">
        <v>262</v>
      </c>
      <c r="B729" s="2" t="s">
        <v>370</v>
      </c>
      <c r="C729" s="3">
        <v>303.17</v>
      </c>
      <c r="D729" s="1">
        <v>340</v>
      </c>
      <c r="E729" t="str">
        <f>VLOOKUP(A729,Sheet2!A:E,5,)</f>
        <v>ROYAL TRIPLE WHISKY</v>
      </c>
      <c r="F729" t="s">
        <v>5</v>
      </c>
      <c r="G729" s="3">
        <v>303.17</v>
      </c>
      <c r="H729" s="1">
        <v>340</v>
      </c>
    </row>
    <row r="730" spans="1:8" x14ac:dyDescent="0.35">
      <c r="A730" s="2" t="s">
        <v>747</v>
      </c>
      <c r="B730" s="2" t="s">
        <v>372</v>
      </c>
      <c r="C730" s="3">
        <v>379.02</v>
      </c>
      <c r="D730" s="1">
        <v>430</v>
      </c>
      <c r="E730" t="str">
        <f>VLOOKUP(A730,Sheet2!A:E,5,)</f>
        <v>R. RANTHAMBORE RARE WHISKY</v>
      </c>
      <c r="F730" t="s">
        <v>374</v>
      </c>
      <c r="G730" s="3">
        <v>379.02</v>
      </c>
      <c r="H730" s="1">
        <v>430</v>
      </c>
    </row>
    <row r="731" spans="1:8" x14ac:dyDescent="0.35">
      <c r="A731" s="2" t="s">
        <v>747</v>
      </c>
      <c r="B731" s="2" t="s">
        <v>370</v>
      </c>
      <c r="C731" s="3">
        <v>765.56</v>
      </c>
      <c r="D731" s="1">
        <v>860</v>
      </c>
      <c r="E731" t="str">
        <f>VLOOKUP(A731,Sheet2!A:E,5,)</f>
        <v>R. RANTHAMBORE RARE WHISKY</v>
      </c>
      <c r="F731" t="s">
        <v>5</v>
      </c>
      <c r="G731" s="3">
        <v>765.56</v>
      </c>
      <c r="H731" s="1">
        <v>860</v>
      </c>
    </row>
    <row r="732" spans="1:8" x14ac:dyDescent="0.35">
      <c r="A732" s="2" t="s">
        <v>748</v>
      </c>
      <c r="B732" s="2" t="s">
        <v>371</v>
      </c>
      <c r="C732" s="3">
        <v>218.27</v>
      </c>
      <c r="D732" s="1">
        <v>250</v>
      </c>
      <c r="E732" t="str">
        <f>VLOOKUP(A732,Sheet2!A:E,5,)</f>
        <v>R. RANTHAMBORE RARE WHISKY</v>
      </c>
      <c r="F732" t="s">
        <v>376</v>
      </c>
      <c r="G732" s="3">
        <v>218.27</v>
      </c>
      <c r="H732" s="1">
        <v>250</v>
      </c>
    </row>
    <row r="733" spans="1:8" x14ac:dyDescent="0.35">
      <c r="A733" s="2" t="s">
        <v>749</v>
      </c>
      <c r="B733" s="2" t="s">
        <v>369</v>
      </c>
      <c r="C733" s="3">
        <v>1531.12</v>
      </c>
      <c r="D733" s="1">
        <v>1720</v>
      </c>
      <c r="E733" t="str">
        <f>VLOOKUP(A733,Sheet2!A:E,5,)</f>
        <v>R. RANTHAMBORE RARE WHISKY</v>
      </c>
      <c r="F733" t="s">
        <v>4</v>
      </c>
      <c r="G733" s="3">
        <v>1531.12</v>
      </c>
      <c r="H733" s="1">
        <v>1720</v>
      </c>
    </row>
    <row r="734" spans="1:8" x14ac:dyDescent="0.35">
      <c r="A734" s="2" t="s">
        <v>750</v>
      </c>
      <c r="B734" s="2" t="s">
        <v>368</v>
      </c>
      <c r="C734" s="3">
        <v>174.72</v>
      </c>
      <c r="D734" s="1">
        <v>200</v>
      </c>
      <c r="E734" t="str">
        <f>VLOOKUP(A734,Sheet2!A:E,5,)</f>
        <v>R STAG BARREL WHISKY</v>
      </c>
      <c r="F734" t="s">
        <v>374</v>
      </c>
      <c r="G734" s="3">
        <v>174.72</v>
      </c>
      <c r="H734" s="1">
        <v>200</v>
      </c>
    </row>
    <row r="735" spans="1:8" x14ac:dyDescent="0.35">
      <c r="A735" s="2" t="s">
        <v>750</v>
      </c>
      <c r="B735" s="2" t="s">
        <v>370</v>
      </c>
      <c r="C735" s="3">
        <v>338.32</v>
      </c>
      <c r="D735" s="1">
        <v>380</v>
      </c>
      <c r="E735" t="str">
        <f>VLOOKUP(A735,Sheet2!A:E,5,)</f>
        <v>R STAG BARREL WHISKY</v>
      </c>
      <c r="F735" t="s">
        <v>5</v>
      </c>
      <c r="G735" s="3">
        <v>338.32</v>
      </c>
      <c r="H735" s="1">
        <v>380</v>
      </c>
    </row>
    <row r="736" spans="1:8" x14ac:dyDescent="0.35">
      <c r="A736" s="2" t="s">
        <v>750</v>
      </c>
      <c r="B736" s="2" t="s">
        <v>369</v>
      </c>
      <c r="C736" s="3">
        <v>679.46</v>
      </c>
      <c r="D736" s="1">
        <v>770</v>
      </c>
      <c r="E736" t="str">
        <f>VLOOKUP(A736,Sheet2!A:E,5,)</f>
        <v>R STAG BARREL WHISKY</v>
      </c>
      <c r="F736" t="s">
        <v>4</v>
      </c>
      <c r="G736" s="3">
        <v>679.46</v>
      </c>
      <c r="H736" s="1">
        <v>770</v>
      </c>
    </row>
    <row r="737" spans="1:8" x14ac:dyDescent="0.35">
      <c r="A737" s="2" t="s">
        <v>263</v>
      </c>
      <c r="B737" s="2" t="s">
        <v>371</v>
      </c>
      <c r="C737" s="3">
        <v>88.73</v>
      </c>
      <c r="D737" s="1">
        <v>100</v>
      </c>
      <c r="E737" t="str">
        <f>VLOOKUP(A737,Sheet2!A:E,5,)</f>
        <v>R STAG BARREL WHISKY</v>
      </c>
      <c r="F737" t="s">
        <v>376</v>
      </c>
      <c r="G737" s="3">
        <v>88.73</v>
      </c>
      <c r="H737" s="1">
        <v>100</v>
      </c>
    </row>
    <row r="738" spans="1:8" x14ac:dyDescent="0.35">
      <c r="A738" s="2" t="s">
        <v>264</v>
      </c>
      <c r="B738" s="2" t="s">
        <v>368</v>
      </c>
      <c r="C738" s="3">
        <v>177.53</v>
      </c>
      <c r="D738" s="1">
        <v>200</v>
      </c>
      <c r="E738" t="str">
        <f>VLOOKUP(A738,Sheet2!A:E,5,)</f>
        <v>R STAG DARK WHISKY</v>
      </c>
      <c r="F738" t="s">
        <v>374</v>
      </c>
      <c r="G738" s="3">
        <v>177.53</v>
      </c>
      <c r="H738" s="1">
        <v>200</v>
      </c>
    </row>
    <row r="739" spans="1:8" x14ac:dyDescent="0.35">
      <c r="A739" s="2" t="s">
        <v>265</v>
      </c>
      <c r="B739" s="2" t="s">
        <v>370</v>
      </c>
      <c r="C739" s="3">
        <v>343.23</v>
      </c>
      <c r="D739" s="1">
        <v>390</v>
      </c>
      <c r="E739" t="str">
        <f>VLOOKUP(A739,Sheet2!A:E,5,)</f>
        <v>R STAG DARK WHISKY</v>
      </c>
      <c r="F739" t="s">
        <v>5</v>
      </c>
      <c r="G739" s="3">
        <v>343.23</v>
      </c>
      <c r="H739" s="1">
        <v>390</v>
      </c>
    </row>
    <row r="740" spans="1:8" x14ac:dyDescent="0.35">
      <c r="A740" s="2" t="s">
        <v>266</v>
      </c>
      <c r="B740" s="2" t="s">
        <v>369</v>
      </c>
      <c r="C740" s="3">
        <v>676.68</v>
      </c>
      <c r="D740" s="1">
        <v>760</v>
      </c>
      <c r="E740" t="str">
        <f>VLOOKUP(A740,Sheet2!A:E,5,)</f>
        <v>R STAG DARK WHISKY</v>
      </c>
      <c r="F740" t="s">
        <v>4</v>
      </c>
      <c r="G740" s="3">
        <v>676.68</v>
      </c>
      <c r="H740" s="1">
        <v>760</v>
      </c>
    </row>
    <row r="741" spans="1:8" x14ac:dyDescent="0.35">
      <c r="A741" s="2" t="s">
        <v>267</v>
      </c>
      <c r="B741" s="2" t="s">
        <v>371</v>
      </c>
      <c r="C741" s="3">
        <v>88.77</v>
      </c>
      <c r="D741" s="1">
        <v>100</v>
      </c>
      <c r="E741" t="str">
        <f>VLOOKUP(A741,Sheet2!A:E,5,)</f>
        <v>R STAG DARK WHISKY</v>
      </c>
      <c r="F741" t="s">
        <v>376</v>
      </c>
      <c r="G741" s="3">
        <v>88.77</v>
      </c>
      <c r="H741" s="1">
        <v>100</v>
      </c>
    </row>
    <row r="742" spans="1:8" x14ac:dyDescent="0.35">
      <c r="A742" s="2" t="s">
        <v>268</v>
      </c>
      <c r="B742" s="2" t="s">
        <v>371</v>
      </c>
      <c r="C742" s="3">
        <v>79.33</v>
      </c>
      <c r="D742" s="1">
        <v>90</v>
      </c>
      <c r="E742" t="str">
        <f>VLOOKUP(A742,Sheet2!A:E,5,)</f>
        <v>R STAG SUPERIOR WHISKY</v>
      </c>
      <c r="F742" t="s">
        <v>376</v>
      </c>
      <c r="G742" s="3">
        <v>79.33</v>
      </c>
      <c r="H742" s="1">
        <v>90</v>
      </c>
    </row>
    <row r="743" spans="1:8" x14ac:dyDescent="0.35">
      <c r="A743" s="2" t="s">
        <v>751</v>
      </c>
      <c r="B743" s="2" t="s">
        <v>368</v>
      </c>
      <c r="C743" s="3">
        <v>158.72</v>
      </c>
      <c r="D743" s="1">
        <v>180</v>
      </c>
      <c r="E743" t="str">
        <f>VLOOKUP(A743,Sheet2!A:E,5,)</f>
        <v>R STAG SUPERIOR WHISKY</v>
      </c>
      <c r="F743" t="s">
        <v>374</v>
      </c>
      <c r="G743" s="3">
        <v>158.72</v>
      </c>
      <c r="H743" s="1">
        <v>180</v>
      </c>
    </row>
    <row r="744" spans="1:8" x14ac:dyDescent="0.35">
      <c r="A744" s="2" t="s">
        <v>751</v>
      </c>
      <c r="B744" s="2" t="s">
        <v>370</v>
      </c>
      <c r="C744" s="3">
        <v>305.58999999999997</v>
      </c>
      <c r="D744" s="1">
        <v>350</v>
      </c>
      <c r="E744" t="str">
        <f>VLOOKUP(A744,Sheet2!A:E,5,)</f>
        <v>R STAG SUPERIOR WHISKY</v>
      </c>
      <c r="F744" t="s">
        <v>5</v>
      </c>
      <c r="G744" s="3">
        <v>305.58999999999997</v>
      </c>
      <c r="H744" s="1">
        <v>350</v>
      </c>
    </row>
    <row r="745" spans="1:8" x14ac:dyDescent="0.35">
      <c r="A745" s="2" t="s">
        <v>751</v>
      </c>
      <c r="B745" s="2" t="s">
        <v>370</v>
      </c>
      <c r="C745" s="3">
        <v>410.75</v>
      </c>
      <c r="D745" s="1">
        <v>470</v>
      </c>
      <c r="E745" t="str">
        <f>VLOOKUP(A745,Sheet2!A:E,5,)</f>
        <v>R STAG SUPERIOR WHISKY</v>
      </c>
      <c r="F745" t="s">
        <v>5</v>
      </c>
      <c r="G745" s="3">
        <v>410.75</v>
      </c>
      <c r="H745" s="1">
        <v>470</v>
      </c>
    </row>
    <row r="746" spans="1:8" x14ac:dyDescent="0.35">
      <c r="A746" s="2" t="s">
        <v>751</v>
      </c>
      <c r="B746" s="2" t="s">
        <v>369</v>
      </c>
      <c r="C746" s="3">
        <v>591.13</v>
      </c>
      <c r="D746" s="1">
        <v>670</v>
      </c>
      <c r="E746" t="str">
        <f>VLOOKUP(A746,Sheet2!A:E,5,)</f>
        <v>R STAG SUPERIOR WHISKY</v>
      </c>
      <c r="F746" t="s">
        <v>4</v>
      </c>
      <c r="G746" s="3">
        <v>591.13</v>
      </c>
      <c r="H746" s="1">
        <v>670</v>
      </c>
    </row>
    <row r="747" spans="1:8" x14ac:dyDescent="0.35">
      <c r="A747" s="2" t="s">
        <v>752</v>
      </c>
      <c r="B747" s="2" t="s">
        <v>367</v>
      </c>
      <c r="C747" s="3">
        <v>2087.73</v>
      </c>
      <c r="D747" s="1">
        <v>2340</v>
      </c>
      <c r="E747" t="str">
        <f>VLOOKUP(A747,Sheet2!A:E,5,)</f>
        <v>RYE OLD HUNTERS RESERVE</v>
      </c>
      <c r="F747" t="s">
        <v>4</v>
      </c>
      <c r="G747" s="3">
        <v>2087.73</v>
      </c>
      <c r="H747" s="1">
        <v>2340</v>
      </c>
    </row>
    <row r="748" spans="1:8" x14ac:dyDescent="0.35">
      <c r="A748" s="2" t="s">
        <v>753</v>
      </c>
      <c r="B748" s="2" t="s">
        <v>367</v>
      </c>
      <c r="C748" s="3">
        <v>1439.98</v>
      </c>
      <c r="D748" s="1">
        <v>1620</v>
      </c>
      <c r="E748" t="str">
        <f>VLOOKUP(A748,Sheet2!A:E,5,)</f>
        <v>RYE STARA MYSLIVECKA 1 Y</v>
      </c>
      <c r="F748" t="s">
        <v>4</v>
      </c>
      <c r="G748" s="3">
        <v>1439.98</v>
      </c>
      <c r="H748" s="1">
        <v>1620</v>
      </c>
    </row>
    <row r="749" spans="1:8" x14ac:dyDescent="0.35">
      <c r="A749" s="2" t="s">
        <v>754</v>
      </c>
      <c r="B749" s="2" t="s">
        <v>367</v>
      </c>
      <c r="C749" s="3">
        <v>1974.73</v>
      </c>
      <c r="D749" s="1">
        <v>2220</v>
      </c>
      <c r="E749" t="str">
        <f>VLOOKUP(A749,Sheet2!A:E,5,)</f>
        <v>RYE STARA MYSLIVECKA</v>
      </c>
      <c r="F749" t="s">
        <v>4</v>
      </c>
      <c r="G749" s="3">
        <v>1974.73</v>
      </c>
      <c r="H749" s="1">
        <v>2220</v>
      </c>
    </row>
    <row r="750" spans="1:8" x14ac:dyDescent="0.35">
      <c r="A750" s="2" t="s">
        <v>269</v>
      </c>
      <c r="B750" s="2" t="s">
        <v>367</v>
      </c>
      <c r="C750" s="3">
        <v>1413.12</v>
      </c>
      <c r="D750" s="1">
        <v>1590</v>
      </c>
      <c r="E750" t="str">
        <f>VLOOKUP(A750,Sheet2!A:E,5,)</f>
        <v>RYE STARAMYSLIVECKA</v>
      </c>
      <c r="F750" t="s">
        <v>4</v>
      </c>
      <c r="G750" s="3">
        <v>1413.12</v>
      </c>
      <c r="H750" s="1">
        <v>1590</v>
      </c>
    </row>
    <row r="751" spans="1:8" x14ac:dyDescent="0.35">
      <c r="A751" s="2" t="s">
        <v>270</v>
      </c>
      <c r="B751" s="2" t="s">
        <v>367</v>
      </c>
      <c r="C751" s="3">
        <v>1935.99</v>
      </c>
      <c r="D751" s="1">
        <v>2170</v>
      </c>
      <c r="E751" t="str">
        <f>VLOOKUP(A751,Sheet2!A:E,5,)</f>
        <v>RYE STARAMYSLIVECKA RESERVE</v>
      </c>
      <c r="F751" t="s">
        <v>4</v>
      </c>
      <c r="G751" s="3">
        <v>1935.99</v>
      </c>
      <c r="H751" s="1">
        <v>2170</v>
      </c>
    </row>
    <row r="752" spans="1:8" x14ac:dyDescent="0.35">
      <c r="A752" s="2" t="s">
        <v>271</v>
      </c>
      <c r="B752" s="2" t="s">
        <v>367</v>
      </c>
      <c r="C752" s="3">
        <v>2774.9</v>
      </c>
      <c r="D752" s="1">
        <v>3110</v>
      </c>
      <c r="E752" t="str">
        <f>VLOOKUP(A752,Sheet2!A:E,5,)</f>
        <v>SAINT REMY VSOP BRANDY</v>
      </c>
      <c r="F752" t="s">
        <v>4</v>
      </c>
      <c r="G752" s="3">
        <v>2774.9</v>
      </c>
      <c r="H752" s="1">
        <v>3110</v>
      </c>
    </row>
    <row r="753" spans="1:8" x14ac:dyDescent="0.35">
      <c r="A753" s="2" t="s">
        <v>755</v>
      </c>
      <c r="B753" s="2" t="s">
        <v>367</v>
      </c>
      <c r="C753" s="3">
        <v>3334.8</v>
      </c>
      <c r="D753" s="1">
        <v>3740</v>
      </c>
      <c r="E753" t="str">
        <f>VLOOKUP(A753,Sheet2!A:E,5,)</f>
        <v>SAINT REMY XO</v>
      </c>
      <c r="F753" t="s">
        <v>4</v>
      </c>
      <c r="G753" s="3">
        <v>3334.8</v>
      </c>
      <c r="H753" s="1">
        <v>3740</v>
      </c>
    </row>
    <row r="754" spans="1:8" x14ac:dyDescent="0.35">
      <c r="A754" s="2" t="s">
        <v>272</v>
      </c>
      <c r="B754" s="2" t="s">
        <v>369</v>
      </c>
      <c r="C754" s="3">
        <v>417.77</v>
      </c>
      <c r="D754" s="1">
        <v>470</v>
      </c>
      <c r="E754" t="str">
        <f>VLOOKUP(A754,Sheet2!A:E,5,)</f>
        <v>SAMARA RED</v>
      </c>
      <c r="F754" t="s">
        <v>4</v>
      </c>
      <c r="G754" s="3">
        <v>417.77</v>
      </c>
      <c r="H754" s="1">
        <v>470</v>
      </c>
    </row>
    <row r="755" spans="1:8" x14ac:dyDescent="0.35">
      <c r="A755" s="2" t="s">
        <v>756</v>
      </c>
      <c r="B755" s="2" t="s">
        <v>369</v>
      </c>
      <c r="C755" s="3">
        <v>412.05</v>
      </c>
      <c r="D755" s="1">
        <v>470</v>
      </c>
      <c r="E755" t="str">
        <f>VLOOKUP(A755,Sheet2!A:E,5,)</f>
        <v>SAMARA WHITE WINE</v>
      </c>
      <c r="F755" t="s">
        <v>4</v>
      </c>
      <c r="G755" s="3">
        <v>412.05</v>
      </c>
      <c r="H755" s="1">
        <v>470</v>
      </c>
    </row>
    <row r="756" spans="1:8" x14ac:dyDescent="0.35">
      <c r="A756" s="2" t="s">
        <v>757</v>
      </c>
      <c r="B756" s="2" t="s">
        <v>369</v>
      </c>
      <c r="C756" s="3">
        <v>4752.09</v>
      </c>
      <c r="D756" s="1">
        <v>5330</v>
      </c>
      <c r="E756" t="str">
        <f>VLOOKUP(A756,Sheet2!A:E,5,)</f>
        <v>SANGAM MALT WHISKY</v>
      </c>
      <c r="F756" t="s">
        <v>4</v>
      </c>
      <c r="G756" s="3">
        <v>4752.09</v>
      </c>
      <c r="H756" s="1">
        <v>5330</v>
      </c>
    </row>
    <row r="757" spans="1:8" x14ac:dyDescent="0.35">
      <c r="A757" s="2" t="s">
        <v>273</v>
      </c>
      <c r="B757" s="2" t="s">
        <v>369</v>
      </c>
      <c r="C757" s="3">
        <v>1429.85</v>
      </c>
      <c r="D757" s="1">
        <v>1610</v>
      </c>
      <c r="E757" t="str">
        <f>VLOOKUP(A757,Sheet2!A:E,5,)</f>
        <v>SANGRE DE TORO</v>
      </c>
      <c r="F757" t="s">
        <v>4</v>
      </c>
      <c r="G757" s="3">
        <v>1429.85</v>
      </c>
      <c r="H757" s="1">
        <v>1610</v>
      </c>
    </row>
    <row r="758" spans="1:8" x14ac:dyDescent="0.35">
      <c r="A758" s="2" t="s">
        <v>758</v>
      </c>
      <c r="B758" s="2" t="s">
        <v>369</v>
      </c>
      <c r="C758" s="3">
        <v>2681.59</v>
      </c>
      <c r="D758" s="1">
        <v>3010</v>
      </c>
      <c r="E758" t="str">
        <f>VLOOKUP(A758,Sheet2!A:E,5,)</f>
        <v>SCHWARTZHOG KRAUTER LIQUEUR</v>
      </c>
      <c r="F758" t="s">
        <v>4</v>
      </c>
      <c r="G758" s="3">
        <v>2681.59</v>
      </c>
      <c r="H758" s="1">
        <v>3010</v>
      </c>
    </row>
    <row r="759" spans="1:8" x14ac:dyDescent="0.35">
      <c r="A759" s="2" t="s">
        <v>274</v>
      </c>
      <c r="B759" s="2" t="s">
        <v>369</v>
      </c>
      <c r="C759" s="3">
        <v>1700.03</v>
      </c>
      <c r="D759" s="1">
        <v>1910</v>
      </c>
      <c r="E759" t="str">
        <f>VLOOKUP(A759,Sheet2!A:E,5,)</f>
        <v>SCOTS CHOICE BLENDED WHISKY</v>
      </c>
      <c r="F759" t="s">
        <v>4</v>
      </c>
      <c r="G759" s="3">
        <v>1700.03</v>
      </c>
      <c r="H759" s="1">
        <v>1910</v>
      </c>
    </row>
    <row r="760" spans="1:8" x14ac:dyDescent="0.35">
      <c r="A760" s="2" t="s">
        <v>275</v>
      </c>
      <c r="B760" s="2" t="s">
        <v>369</v>
      </c>
      <c r="C760" s="3">
        <v>1590.61</v>
      </c>
      <c r="D760" s="1">
        <v>1790</v>
      </c>
      <c r="E760" t="str">
        <f>VLOOKUP(A760,Sheet2!A:E,5,)</f>
        <v>SCOTTISH LEADER SCOTCH WHISKEY</v>
      </c>
      <c r="F760" t="s">
        <v>4</v>
      </c>
      <c r="G760" s="3">
        <v>1590.61</v>
      </c>
      <c r="H760" s="1">
        <v>1790</v>
      </c>
    </row>
    <row r="761" spans="1:8" x14ac:dyDescent="0.35">
      <c r="A761" s="2" t="s">
        <v>759</v>
      </c>
      <c r="B761" s="2" t="s">
        <v>369</v>
      </c>
      <c r="C761" s="3">
        <v>1505.9</v>
      </c>
      <c r="D761" s="1">
        <v>1690</v>
      </c>
      <c r="E761" t="str">
        <f>VLOOKUP(A761,Sheet2!A:E,5,)</f>
        <v>SENORITA ANGEL SHIRAZ (AUS)</v>
      </c>
      <c r="F761" t="s">
        <v>4</v>
      </c>
      <c r="G761" s="3">
        <v>1505.9</v>
      </c>
      <c r="H761" s="1">
        <v>1690</v>
      </c>
    </row>
    <row r="762" spans="1:8" x14ac:dyDescent="0.35">
      <c r="A762" s="2" t="s">
        <v>760</v>
      </c>
      <c r="B762" s="2" t="s">
        <v>369</v>
      </c>
      <c r="C762" s="3">
        <v>1548.51</v>
      </c>
      <c r="D762" s="1">
        <v>1740</v>
      </c>
      <c r="E762" t="str">
        <f>VLOOKUP(A762,Sheet2!A:E,5,)</f>
        <v>SENORITA CABERNET SAUVIGNON</v>
      </c>
      <c r="F762" t="s">
        <v>4</v>
      </c>
      <c r="G762" s="3">
        <v>1548.51</v>
      </c>
      <c r="H762" s="1">
        <v>1740</v>
      </c>
    </row>
    <row r="763" spans="1:8" x14ac:dyDescent="0.35">
      <c r="A763" s="2" t="s">
        <v>761</v>
      </c>
      <c r="B763" s="2" t="s">
        <v>369</v>
      </c>
      <c r="C763" s="3">
        <v>1841.88</v>
      </c>
      <c r="D763" s="1">
        <v>2070</v>
      </c>
      <c r="E763" t="str">
        <f>VLOOKUP(A763,Sheet2!A:E,5,)</f>
        <v>SENORITA CHARDONNAY WINE</v>
      </c>
      <c r="F763" t="s">
        <v>4</v>
      </c>
      <c r="G763" s="3">
        <v>1841.88</v>
      </c>
      <c r="H763" s="1">
        <v>2070</v>
      </c>
    </row>
    <row r="764" spans="1:8" x14ac:dyDescent="0.35">
      <c r="A764" s="2" t="s">
        <v>762</v>
      </c>
      <c r="B764" s="2" t="s">
        <v>369</v>
      </c>
      <c r="C764" s="3">
        <v>1412.09</v>
      </c>
      <c r="D764" s="1">
        <v>1590</v>
      </c>
      <c r="E764" t="str">
        <f>VLOOKUP(A764,Sheet2!A:E,5,)</f>
        <v>SENORITA MASELLE RIESLING QBA HAIB</v>
      </c>
      <c r="F764" t="s">
        <v>4</v>
      </c>
      <c r="G764" s="3">
        <v>1412.09</v>
      </c>
      <c r="H764" s="1">
        <v>1590</v>
      </c>
    </row>
    <row r="765" spans="1:8" x14ac:dyDescent="0.35">
      <c r="A765" s="2" t="s">
        <v>763</v>
      </c>
      <c r="B765" s="2" t="s">
        <v>369</v>
      </c>
      <c r="C765" s="3">
        <v>1960</v>
      </c>
      <c r="D765" s="1">
        <v>2200</v>
      </c>
      <c r="E765" t="str">
        <f>VLOOKUP(A765,Sheet2!A:E,5,)</f>
        <v>SENORITA MERLOT WINE</v>
      </c>
      <c r="F765" t="s">
        <v>4</v>
      </c>
      <c r="G765" s="3">
        <v>1960</v>
      </c>
      <c r="H765" s="1">
        <v>2200</v>
      </c>
    </row>
    <row r="766" spans="1:8" x14ac:dyDescent="0.35">
      <c r="A766" s="2" t="s">
        <v>764</v>
      </c>
      <c r="B766" s="2" t="s">
        <v>368</v>
      </c>
      <c r="C766" s="3">
        <v>234.58</v>
      </c>
      <c r="D766" s="1">
        <v>270</v>
      </c>
      <c r="E766" t="str">
        <f>VLOOKUP(A766,Sheet2!A:E,5,)</f>
        <v>SEVENTH HAEVEN WHISKY</v>
      </c>
      <c r="F766" t="s">
        <v>374</v>
      </c>
      <c r="G766" s="3">
        <v>234.58</v>
      </c>
      <c r="H766" s="1">
        <v>270</v>
      </c>
    </row>
    <row r="767" spans="1:8" x14ac:dyDescent="0.35">
      <c r="A767" s="2" t="s">
        <v>765</v>
      </c>
      <c r="B767" s="2" t="s">
        <v>371</v>
      </c>
      <c r="C767" s="3">
        <v>117.29</v>
      </c>
      <c r="D767" s="1">
        <v>140</v>
      </c>
      <c r="E767" t="str">
        <f>VLOOKUP(A767,Sheet2!A:E,5,)</f>
        <v>SEVENTH HAEVEN WHISKY</v>
      </c>
      <c r="F767" t="s">
        <v>376</v>
      </c>
      <c r="G767" s="3">
        <v>117.29</v>
      </c>
      <c r="H767" s="1">
        <v>140</v>
      </c>
    </row>
    <row r="768" spans="1:8" x14ac:dyDescent="0.35">
      <c r="A768" s="2" t="s">
        <v>276</v>
      </c>
      <c r="B768" s="2" t="s">
        <v>367</v>
      </c>
      <c r="C768" s="3">
        <v>3306.8</v>
      </c>
      <c r="D768" s="1">
        <v>3710</v>
      </c>
      <c r="E768" t="str">
        <f>VLOOKUP(A768,Sheet2!A:E,5,)</f>
        <v>SHANKY'S WHIP BLACK IRISH (1PCS)</v>
      </c>
      <c r="F768" t="s">
        <v>4</v>
      </c>
      <c r="G768" s="3">
        <v>3306.8</v>
      </c>
      <c r="H768" s="1">
        <v>3710</v>
      </c>
    </row>
    <row r="769" spans="1:8" x14ac:dyDescent="0.35">
      <c r="A769" s="2" t="s">
        <v>766</v>
      </c>
      <c r="B769" s="2" t="s">
        <v>369</v>
      </c>
      <c r="C769" s="3">
        <v>1234.31</v>
      </c>
      <c r="D769" s="1">
        <v>1390</v>
      </c>
      <c r="E769" t="str">
        <f>VLOOKUP(A769,Sheet2!A:E,5,)</f>
        <v>SHORTWOOD ROSE/CHARDONNAY WINE</v>
      </c>
      <c r="F769" t="s">
        <v>4</v>
      </c>
      <c r="G769" s="3">
        <v>1234.31</v>
      </c>
      <c r="H769" s="1">
        <v>1390</v>
      </c>
    </row>
    <row r="770" spans="1:8" x14ac:dyDescent="0.35">
      <c r="A770" s="2" t="s">
        <v>767</v>
      </c>
      <c r="B770" s="2" t="s">
        <v>373</v>
      </c>
      <c r="C770" s="3">
        <v>167.81</v>
      </c>
      <c r="D770" s="1">
        <v>190</v>
      </c>
      <c r="E770" t="str">
        <f>VLOOKUP(A770,Sheet2!A:E,5,)</f>
        <v>SHOTGUN STRONG BEER</v>
      </c>
      <c r="F770" t="s">
        <v>375</v>
      </c>
      <c r="G770" s="3">
        <v>167.81</v>
      </c>
      <c r="H770" s="1">
        <v>190</v>
      </c>
    </row>
    <row r="771" spans="1:8" x14ac:dyDescent="0.35">
      <c r="A771" s="2" t="s">
        <v>277</v>
      </c>
      <c r="B771" s="2" t="s">
        <v>369</v>
      </c>
      <c r="C771" s="3">
        <v>442.64</v>
      </c>
      <c r="D771" s="1">
        <v>500</v>
      </c>
      <c r="E771" t="str">
        <f>VLOOKUP(A771,Sheet2!A:E,5,)</f>
        <v>SIDUS PREMIUM RED WINE</v>
      </c>
      <c r="F771" t="s">
        <v>4</v>
      </c>
      <c r="G771" s="3">
        <v>442.64</v>
      </c>
      <c r="H771" s="1">
        <v>500</v>
      </c>
    </row>
    <row r="772" spans="1:8" x14ac:dyDescent="0.35">
      <c r="A772" s="2" t="s">
        <v>768</v>
      </c>
      <c r="B772" s="2" t="s">
        <v>368</v>
      </c>
      <c r="C772" s="3">
        <v>205.95</v>
      </c>
      <c r="D772" s="1">
        <v>240</v>
      </c>
      <c r="E772" t="str">
        <f>VLOOKUP(A772,Sheet2!A:E,5,)</f>
        <v>SIGNATURE PREMIER GRAIN WHISKY</v>
      </c>
      <c r="F772" t="s">
        <v>374</v>
      </c>
      <c r="G772" s="3">
        <v>205.95</v>
      </c>
      <c r="H772" s="1">
        <v>240</v>
      </c>
    </row>
    <row r="773" spans="1:8" x14ac:dyDescent="0.35">
      <c r="A773" s="2" t="s">
        <v>768</v>
      </c>
      <c r="B773" s="2" t="s">
        <v>370</v>
      </c>
      <c r="C773" s="3">
        <v>419.83</v>
      </c>
      <c r="D773" s="1">
        <v>480</v>
      </c>
      <c r="E773" t="str">
        <f>VLOOKUP(A773,Sheet2!A:E,5,)</f>
        <v>SIGNATURE PREMIER GRAIN WHISKY</v>
      </c>
      <c r="F773" t="s">
        <v>5</v>
      </c>
      <c r="G773" s="3">
        <v>419.83</v>
      </c>
      <c r="H773" s="1">
        <v>480</v>
      </c>
    </row>
    <row r="774" spans="1:8" x14ac:dyDescent="0.35">
      <c r="A774" s="2" t="s">
        <v>768</v>
      </c>
      <c r="B774" s="2" t="s">
        <v>369</v>
      </c>
      <c r="C774" s="3">
        <v>819.94</v>
      </c>
      <c r="D774" s="1">
        <v>920</v>
      </c>
      <c r="E774" t="str">
        <f>VLOOKUP(A774,Sheet2!A:E,5,)</f>
        <v>SIGNATURE PREMIER GRAIN WHISKY</v>
      </c>
      <c r="F774" t="s">
        <v>4</v>
      </c>
      <c r="G774" s="3">
        <v>819.94</v>
      </c>
      <c r="H774" s="1">
        <v>920</v>
      </c>
    </row>
    <row r="775" spans="1:8" x14ac:dyDescent="0.35">
      <c r="A775" s="2" t="s">
        <v>278</v>
      </c>
      <c r="B775" s="2" t="s">
        <v>371</v>
      </c>
      <c r="C775" s="3">
        <v>109.02</v>
      </c>
      <c r="D775" s="1">
        <v>130</v>
      </c>
      <c r="E775" t="str">
        <f>VLOOKUP(A775,Sheet2!A:E,5,)</f>
        <v>SIGNATURE PREMIER GRAIN WHISKY</v>
      </c>
      <c r="F775" t="s">
        <v>376</v>
      </c>
      <c r="G775" s="3">
        <v>109.02</v>
      </c>
      <c r="H775" s="1">
        <v>130</v>
      </c>
    </row>
    <row r="776" spans="1:8" x14ac:dyDescent="0.35">
      <c r="A776" s="2" t="s">
        <v>769</v>
      </c>
      <c r="B776" s="2" t="s">
        <v>368</v>
      </c>
      <c r="C776" s="3">
        <v>187.29</v>
      </c>
      <c r="D776" s="1">
        <v>210</v>
      </c>
      <c r="E776" t="str">
        <f>VLOOKUP(A776,Sheet2!A:E,5,)</f>
        <v>SIGNATURES RARE AGED WHISKY</v>
      </c>
      <c r="F776" t="s">
        <v>374</v>
      </c>
      <c r="G776" s="3">
        <v>187.29</v>
      </c>
      <c r="H776" s="1">
        <v>210</v>
      </c>
    </row>
    <row r="777" spans="1:8" x14ac:dyDescent="0.35">
      <c r="A777" s="2" t="s">
        <v>769</v>
      </c>
      <c r="B777" s="2" t="s">
        <v>370</v>
      </c>
      <c r="C777" s="3">
        <v>362.67</v>
      </c>
      <c r="D777" s="1">
        <v>410</v>
      </c>
      <c r="E777" t="str">
        <f>VLOOKUP(A777,Sheet2!A:E,5,)</f>
        <v>SIGNATURES RARE AGED WHISKY</v>
      </c>
      <c r="F777" t="s">
        <v>5</v>
      </c>
      <c r="G777" s="3">
        <v>362.67</v>
      </c>
      <c r="H777" s="1">
        <v>410</v>
      </c>
    </row>
    <row r="778" spans="1:8" x14ac:dyDescent="0.35">
      <c r="A778" s="2" t="s">
        <v>769</v>
      </c>
      <c r="B778" s="2" t="s">
        <v>369</v>
      </c>
      <c r="C778" s="3">
        <v>706.1</v>
      </c>
      <c r="D778" s="1">
        <v>800</v>
      </c>
      <c r="E778" t="str">
        <f>VLOOKUP(A778,Sheet2!A:E,5,)</f>
        <v>SIGNATURES RARE AGED WHISKY</v>
      </c>
      <c r="F778" t="s">
        <v>4</v>
      </c>
      <c r="G778" s="3">
        <v>706.1</v>
      </c>
      <c r="H778" s="1">
        <v>800</v>
      </c>
    </row>
    <row r="779" spans="1:8" x14ac:dyDescent="0.35">
      <c r="A779" s="2" t="s">
        <v>770</v>
      </c>
      <c r="B779" s="2" t="s">
        <v>368</v>
      </c>
      <c r="C779" s="3">
        <v>158.34</v>
      </c>
      <c r="D779" s="1">
        <v>180</v>
      </c>
      <c r="E779" t="str">
        <f>VLOOKUP(A779,Sheet2!A:E,5,)</f>
        <v>SIKKIM XXX PRIZE GOLD RUM</v>
      </c>
      <c r="F779" t="s">
        <v>374</v>
      </c>
      <c r="G779" s="3">
        <v>158.34</v>
      </c>
      <c r="H779" s="1">
        <v>180</v>
      </c>
    </row>
    <row r="780" spans="1:8" x14ac:dyDescent="0.35">
      <c r="A780" s="2" t="s">
        <v>771</v>
      </c>
      <c r="B780" s="2" t="s">
        <v>370</v>
      </c>
      <c r="C780" s="3">
        <v>314.87</v>
      </c>
      <c r="D780" s="1">
        <v>360</v>
      </c>
      <c r="E780" t="str">
        <f>VLOOKUP(A780,Sheet2!A:E,5,)</f>
        <v>SIKKIM XXX PRIZE GOLD RUM</v>
      </c>
      <c r="F780" t="s">
        <v>5</v>
      </c>
      <c r="G780" s="3">
        <v>314.87</v>
      </c>
      <c r="H780" s="1">
        <v>360</v>
      </c>
    </row>
    <row r="781" spans="1:8" x14ac:dyDescent="0.35">
      <c r="A781" s="2" t="s">
        <v>772</v>
      </c>
      <c r="B781" s="2" t="s">
        <v>372</v>
      </c>
      <c r="C781" s="3">
        <v>359.84</v>
      </c>
      <c r="D781" s="1">
        <v>410</v>
      </c>
      <c r="E781" t="str">
        <f>VLOOKUP(A781,Sheet2!A:E,5,)</f>
        <v>SINGHASAN FINEST BLENDED</v>
      </c>
      <c r="F781" t="s">
        <v>374</v>
      </c>
      <c r="G781" s="3">
        <v>359.84</v>
      </c>
      <c r="H781" s="1">
        <v>410</v>
      </c>
    </row>
    <row r="782" spans="1:8" x14ac:dyDescent="0.35">
      <c r="A782" s="2" t="s">
        <v>772</v>
      </c>
      <c r="B782" s="2" t="s">
        <v>370</v>
      </c>
      <c r="C782" s="3">
        <v>727.16</v>
      </c>
      <c r="D782" s="1">
        <v>820</v>
      </c>
      <c r="E782" t="str">
        <f>VLOOKUP(A782,Sheet2!A:E,5,)</f>
        <v>SINGHASAN FINEST BLENDED</v>
      </c>
      <c r="F782" t="s">
        <v>5</v>
      </c>
      <c r="G782" s="3">
        <v>727.16</v>
      </c>
      <c r="H782" s="1">
        <v>820</v>
      </c>
    </row>
    <row r="783" spans="1:8" x14ac:dyDescent="0.35">
      <c r="A783" s="2" t="s">
        <v>773</v>
      </c>
      <c r="B783" s="2" t="s">
        <v>369</v>
      </c>
      <c r="C783" s="3">
        <v>1444.32</v>
      </c>
      <c r="D783" s="1">
        <v>1620</v>
      </c>
      <c r="E783" t="str">
        <f>VLOOKUP(A783,Sheet2!A:E,5,)</f>
        <v>SINGHASAN FINEST BLENDED</v>
      </c>
      <c r="F783" t="s">
        <v>4</v>
      </c>
      <c r="G783" s="3">
        <v>1444.32</v>
      </c>
      <c r="H783" s="1">
        <v>1620</v>
      </c>
    </row>
    <row r="784" spans="1:8" x14ac:dyDescent="0.35">
      <c r="A784" s="2" t="s">
        <v>774</v>
      </c>
      <c r="B784" s="2" t="s">
        <v>369</v>
      </c>
      <c r="C784" s="3">
        <v>2156.2600000000002</v>
      </c>
      <c r="D784" s="1">
        <v>2420</v>
      </c>
      <c r="E784" t="str">
        <f>VLOOKUP(A784,Sheet2!A:E,5,)</f>
        <v>SKINNY WITCH PROSECCO BRUT</v>
      </c>
      <c r="F784" t="s">
        <v>4</v>
      </c>
      <c r="G784" s="3">
        <v>2156.2600000000002</v>
      </c>
      <c r="H784" s="1">
        <v>2420</v>
      </c>
    </row>
    <row r="785" spans="1:8" x14ac:dyDescent="0.35">
      <c r="A785" s="2" t="s">
        <v>775</v>
      </c>
      <c r="B785" s="2" t="s">
        <v>369</v>
      </c>
      <c r="C785" s="3">
        <v>2433.56</v>
      </c>
      <c r="D785" s="1">
        <v>2730</v>
      </c>
      <c r="E785" t="str">
        <f>VLOOKUP(A785,Sheet2!A:E,5,)</f>
        <v>SKINNY WITCH PROSECCO ROSE</v>
      </c>
      <c r="F785" t="s">
        <v>4</v>
      </c>
      <c r="G785" s="3">
        <v>2433.56</v>
      </c>
      <c r="H785" s="1">
        <v>2730</v>
      </c>
    </row>
    <row r="786" spans="1:8" x14ac:dyDescent="0.35">
      <c r="A786" s="2" t="s">
        <v>279</v>
      </c>
      <c r="B786" s="2" t="s">
        <v>367</v>
      </c>
      <c r="C786" s="3">
        <v>3771.13</v>
      </c>
      <c r="D786" s="1">
        <v>4230</v>
      </c>
      <c r="E786" t="str">
        <f>VLOOKUP(A786,Sheet2!A:E,5,)</f>
        <v>SKULL X PLATINUM FILTERD VODKA</v>
      </c>
      <c r="F786" t="s">
        <v>4</v>
      </c>
      <c r="G786" s="3">
        <v>3771.13</v>
      </c>
      <c r="H786" s="1">
        <v>4230</v>
      </c>
    </row>
    <row r="787" spans="1:8" x14ac:dyDescent="0.35">
      <c r="A787" s="2" t="s">
        <v>776</v>
      </c>
      <c r="B787" s="2" t="s">
        <v>373</v>
      </c>
      <c r="C787" s="3">
        <v>577.75</v>
      </c>
      <c r="D787" s="1">
        <v>650</v>
      </c>
      <c r="E787" t="str">
        <f>VLOOKUP(A787,Sheet2!A:E,5,)</f>
        <v>SKY SHOTS SUPERNOVA</v>
      </c>
      <c r="F787" t="s">
        <v>375</v>
      </c>
      <c r="G787" s="3">
        <v>577.75</v>
      </c>
      <c r="H787" s="1">
        <v>650</v>
      </c>
    </row>
    <row r="788" spans="1:8" x14ac:dyDescent="0.35">
      <c r="A788" s="2" t="s">
        <v>777</v>
      </c>
      <c r="B788" s="2" t="s">
        <v>369</v>
      </c>
      <c r="C788" s="3">
        <v>1538.2</v>
      </c>
      <c r="D788" s="1">
        <v>1730</v>
      </c>
      <c r="E788" t="str">
        <f>VLOOKUP(A788,Sheet2!A:E,5,)</f>
        <v>SKYY VODKA</v>
      </c>
      <c r="F788" t="s">
        <v>4</v>
      </c>
      <c r="G788" s="3">
        <v>1538.2</v>
      </c>
      <c r="H788" s="1">
        <v>1730</v>
      </c>
    </row>
    <row r="789" spans="1:8" x14ac:dyDescent="0.35">
      <c r="A789" s="2" t="s">
        <v>280</v>
      </c>
      <c r="B789" s="2" t="s">
        <v>368</v>
      </c>
      <c r="C789" s="3">
        <v>215.84</v>
      </c>
      <c r="D789" s="1">
        <v>250</v>
      </c>
      <c r="E789" t="str">
        <f>VLOOKUP(A789,Sheet2!A:E,5,)</f>
        <v>SMIRNOFF FLAVOUR TRIPLE DISTILLED VODKA</v>
      </c>
      <c r="F789" t="s">
        <v>374</v>
      </c>
      <c r="G789" s="3">
        <v>215.84</v>
      </c>
      <c r="H789" s="1">
        <v>250</v>
      </c>
    </row>
    <row r="790" spans="1:8" x14ac:dyDescent="0.35">
      <c r="A790" s="2" t="s">
        <v>778</v>
      </c>
      <c r="B790" s="2" t="s">
        <v>370</v>
      </c>
      <c r="C790" s="3">
        <v>419.77</v>
      </c>
      <c r="D790" s="1">
        <v>480</v>
      </c>
      <c r="E790" t="str">
        <f>VLOOKUP(A790,Sheet2!A:E,5,)</f>
        <v>SMIRNOFF FLAVOUR TRIPLE DISTILLED VODKA</v>
      </c>
      <c r="F790" t="s">
        <v>5</v>
      </c>
      <c r="G790" s="3">
        <v>419.77</v>
      </c>
      <c r="H790" s="1">
        <v>480</v>
      </c>
    </row>
    <row r="791" spans="1:8" x14ac:dyDescent="0.35">
      <c r="A791" s="2" t="s">
        <v>281</v>
      </c>
      <c r="B791" s="2" t="s">
        <v>369</v>
      </c>
      <c r="C791" s="3">
        <v>819.15</v>
      </c>
      <c r="D791" s="1">
        <v>920</v>
      </c>
      <c r="E791" t="str">
        <f>VLOOKUP(A791,Sheet2!A:E,5,)</f>
        <v>SMIRNOFF FLAVOUR TRIPLE DISTILLED VODKA</v>
      </c>
      <c r="F791" t="s">
        <v>4</v>
      </c>
      <c r="G791" s="3">
        <v>819.15</v>
      </c>
      <c r="H791" s="1">
        <v>920</v>
      </c>
    </row>
    <row r="792" spans="1:8" x14ac:dyDescent="0.35">
      <c r="A792" s="2" t="s">
        <v>282</v>
      </c>
      <c r="B792" s="2" t="s">
        <v>368</v>
      </c>
      <c r="C792" s="3">
        <v>177.42</v>
      </c>
      <c r="D792" s="1">
        <v>200</v>
      </c>
      <c r="E792" t="str">
        <f>VLOOKUP(A792,Sheet2!A:E,5,)</f>
        <v>SMIRNOFF TRIPLE DISTILLED VODKA</v>
      </c>
      <c r="F792" t="s">
        <v>374</v>
      </c>
      <c r="G792" s="3">
        <v>177.42</v>
      </c>
      <c r="H792" s="1">
        <v>200</v>
      </c>
    </row>
    <row r="793" spans="1:8" x14ac:dyDescent="0.35">
      <c r="A793" s="2" t="s">
        <v>283</v>
      </c>
      <c r="B793" s="2" t="s">
        <v>370</v>
      </c>
      <c r="C793" s="3">
        <v>352.83</v>
      </c>
      <c r="D793" s="1">
        <v>400</v>
      </c>
      <c r="E793" t="str">
        <f>VLOOKUP(A793,Sheet2!A:E,5,)</f>
        <v>SMIRNOFF TRIPLE DISTILLED VODKA</v>
      </c>
      <c r="F793" t="s">
        <v>5</v>
      </c>
      <c r="G793" s="3">
        <v>352.83</v>
      </c>
      <c r="H793" s="1">
        <v>400</v>
      </c>
    </row>
    <row r="794" spans="1:8" x14ac:dyDescent="0.35">
      <c r="A794" s="2" t="s">
        <v>284</v>
      </c>
      <c r="B794" s="2" t="s">
        <v>369</v>
      </c>
      <c r="C794" s="3">
        <v>685.91</v>
      </c>
      <c r="D794" s="1">
        <v>770</v>
      </c>
      <c r="E794" t="str">
        <f>VLOOKUP(A794,Sheet2!A:E,5,)</f>
        <v>SMIRNOFF TRIPLE DISTILLED VODKA</v>
      </c>
      <c r="F794" t="s">
        <v>4</v>
      </c>
      <c r="G794" s="3">
        <v>685.91</v>
      </c>
      <c r="H794" s="1">
        <v>770</v>
      </c>
    </row>
    <row r="795" spans="1:8" x14ac:dyDescent="0.35">
      <c r="A795" s="2" t="s">
        <v>285</v>
      </c>
      <c r="B795" s="2" t="s">
        <v>369</v>
      </c>
      <c r="C795" s="3">
        <v>1823.34</v>
      </c>
      <c r="D795" s="1">
        <v>2050</v>
      </c>
      <c r="E795" t="str">
        <f>VLOOKUP(A795,Sheet2!A:E,5,)</f>
        <v>SMOKE VODKA CLASSIC</v>
      </c>
      <c r="F795" t="s">
        <v>4</v>
      </c>
      <c r="G795" s="3">
        <v>1823.34</v>
      </c>
      <c r="H795" s="1">
        <v>2050</v>
      </c>
    </row>
    <row r="796" spans="1:8" x14ac:dyDescent="0.35">
      <c r="A796" s="2" t="s">
        <v>779</v>
      </c>
      <c r="B796" s="2" t="s">
        <v>368</v>
      </c>
      <c r="C796" s="3">
        <v>129.99</v>
      </c>
      <c r="D796" s="1">
        <v>150</v>
      </c>
      <c r="E796" t="str">
        <f>VLOOKUP(A796,Sheet2!A:E,5,)</f>
        <v>SNOSKI FINE CRAFTED VODKA</v>
      </c>
      <c r="F796" t="s">
        <v>374</v>
      </c>
      <c r="G796" s="3">
        <v>129.99</v>
      </c>
      <c r="H796" s="1">
        <v>150</v>
      </c>
    </row>
    <row r="797" spans="1:8" x14ac:dyDescent="0.35">
      <c r="A797" s="2" t="s">
        <v>779</v>
      </c>
      <c r="B797" s="2" t="s">
        <v>370</v>
      </c>
      <c r="C797" s="3">
        <v>268.45999999999998</v>
      </c>
      <c r="D797" s="1">
        <v>310</v>
      </c>
      <c r="E797" t="str">
        <f>VLOOKUP(A797,Sheet2!A:E,5,)</f>
        <v>SNOSKI FINE CRAFTED VODKA</v>
      </c>
      <c r="F797" t="s">
        <v>5</v>
      </c>
      <c r="G797" s="3">
        <v>268.45999999999998</v>
      </c>
      <c r="H797" s="1">
        <v>310</v>
      </c>
    </row>
    <row r="798" spans="1:8" x14ac:dyDescent="0.35">
      <c r="A798" s="2" t="s">
        <v>779</v>
      </c>
      <c r="B798" s="2" t="s">
        <v>369</v>
      </c>
      <c r="C798" s="3">
        <v>521.49</v>
      </c>
      <c r="D798" s="1">
        <v>590</v>
      </c>
      <c r="E798" t="str">
        <f>VLOOKUP(A798,Sheet2!A:E,5,)</f>
        <v>SNOSKI FINE CRAFTED VODKA</v>
      </c>
      <c r="F798" t="s">
        <v>4</v>
      </c>
      <c r="G798" s="3">
        <v>521.49</v>
      </c>
      <c r="H798" s="1">
        <v>590</v>
      </c>
    </row>
    <row r="799" spans="1:8" x14ac:dyDescent="0.35">
      <c r="A799" s="2" t="s">
        <v>780</v>
      </c>
      <c r="B799" s="2" t="s">
        <v>368</v>
      </c>
      <c r="C799" s="3">
        <v>158.37</v>
      </c>
      <c r="D799" s="1">
        <v>180</v>
      </c>
      <c r="E799" t="str">
        <f>VLOOKUP(A799,Sheet2!A:E,5,)</f>
        <v>SNOSKI FINE GREEN APPLE</v>
      </c>
      <c r="F799" t="s">
        <v>374</v>
      </c>
      <c r="G799" s="3">
        <v>158.37</v>
      </c>
      <c r="H799" s="1">
        <v>180</v>
      </c>
    </row>
    <row r="800" spans="1:8" x14ac:dyDescent="0.35">
      <c r="A800" s="2" t="s">
        <v>780</v>
      </c>
      <c r="B800" s="2" t="s">
        <v>370</v>
      </c>
      <c r="C800" s="3">
        <v>315.01</v>
      </c>
      <c r="D800" s="1">
        <v>360</v>
      </c>
      <c r="E800" t="str">
        <f>VLOOKUP(A800,Sheet2!A:E,5,)</f>
        <v>SNOSKI FINE GREEN APPLE</v>
      </c>
      <c r="F800" t="s">
        <v>5</v>
      </c>
      <c r="G800" s="3">
        <v>315.01</v>
      </c>
      <c r="H800" s="1">
        <v>360</v>
      </c>
    </row>
    <row r="801" spans="1:8" x14ac:dyDescent="0.35">
      <c r="A801" s="2" t="s">
        <v>780</v>
      </c>
      <c r="B801" s="2" t="s">
        <v>369</v>
      </c>
      <c r="C801" s="3">
        <v>619.79999999999995</v>
      </c>
      <c r="D801" s="1">
        <v>700</v>
      </c>
      <c r="E801" t="str">
        <f>VLOOKUP(A801,Sheet2!A:E,5,)</f>
        <v>SNOSKI FINE GREEN APPLE</v>
      </c>
      <c r="F801" t="s">
        <v>4</v>
      </c>
      <c r="G801" s="3">
        <v>619.79999999999995</v>
      </c>
      <c r="H801" s="1">
        <v>700</v>
      </c>
    </row>
    <row r="802" spans="1:8" x14ac:dyDescent="0.35">
      <c r="A802" s="2" t="s">
        <v>781</v>
      </c>
      <c r="B802" s="2" t="s">
        <v>369</v>
      </c>
      <c r="C802" s="3">
        <v>3763.59</v>
      </c>
      <c r="D802" s="1">
        <v>4220</v>
      </c>
      <c r="E802" t="str">
        <f>VLOOKUP(A802,Sheet2!A:E,5,)</f>
        <v>SOLAN GOLD INDIAN SINGLE MALT</v>
      </c>
      <c r="F802" t="s">
        <v>4</v>
      </c>
      <c r="G802" s="3">
        <v>3763.59</v>
      </c>
      <c r="H802" s="1">
        <v>4220</v>
      </c>
    </row>
    <row r="803" spans="1:8" x14ac:dyDescent="0.35">
      <c r="A803" s="2" t="s">
        <v>286</v>
      </c>
      <c r="B803" s="2" t="s">
        <v>369</v>
      </c>
      <c r="C803" s="3">
        <v>1059.1500000000001</v>
      </c>
      <c r="D803" s="1">
        <v>1190</v>
      </c>
      <c r="E803" t="str">
        <f>VLOOKUP(A803,Sheet2!A:E,5,)</f>
        <v>SOLDEPENAS TEMPRANILLO GAMACHA(1)</v>
      </c>
      <c r="F803" t="s">
        <v>4</v>
      </c>
      <c r="G803" s="3">
        <v>1059.1500000000001</v>
      </c>
      <c r="H803" s="1">
        <v>1190</v>
      </c>
    </row>
    <row r="804" spans="1:8" x14ac:dyDescent="0.35">
      <c r="A804" s="2" t="s">
        <v>782</v>
      </c>
      <c r="B804" s="2" t="s">
        <v>368</v>
      </c>
      <c r="C804" s="3">
        <v>433.69</v>
      </c>
      <c r="D804" s="1">
        <v>490</v>
      </c>
      <c r="E804" t="str">
        <f>VLOOKUP(A804,Sheet2!A:E,5,)</f>
        <v>SOMETHING SPECIAL SCOCTCH</v>
      </c>
      <c r="F804" t="s">
        <v>374</v>
      </c>
      <c r="G804" s="3">
        <v>433.69</v>
      </c>
      <c r="H804" s="1">
        <v>490</v>
      </c>
    </row>
    <row r="805" spans="1:8" x14ac:dyDescent="0.35">
      <c r="A805" s="2" t="s">
        <v>783</v>
      </c>
      <c r="B805" s="2" t="s">
        <v>368</v>
      </c>
      <c r="C805" s="3">
        <v>102.7</v>
      </c>
      <c r="D805" s="1">
        <v>120</v>
      </c>
      <c r="E805" t="str">
        <f>VLOOKUP(A805,Sheet2!A:E,5,)</f>
        <v>SOULAMTE BLUE WHISKY</v>
      </c>
      <c r="F805" t="s">
        <v>374</v>
      </c>
      <c r="G805" s="3">
        <v>102.7</v>
      </c>
      <c r="H805" s="1">
        <v>120</v>
      </c>
    </row>
    <row r="806" spans="1:8" x14ac:dyDescent="0.35">
      <c r="A806" s="2" t="s">
        <v>287</v>
      </c>
      <c r="B806" s="2" t="s">
        <v>368</v>
      </c>
      <c r="C806" s="3">
        <v>102.7</v>
      </c>
      <c r="D806" s="1">
        <v>120</v>
      </c>
      <c r="E806" t="str">
        <f>VLOOKUP(A806,Sheet2!A:E,5,)</f>
        <v>SOULMATE SOPERIOR WHISKY</v>
      </c>
      <c r="F806" t="s">
        <v>374</v>
      </c>
      <c r="G806" s="3">
        <v>102.7</v>
      </c>
      <c r="H806" s="1">
        <v>120</v>
      </c>
    </row>
    <row r="807" spans="1:8" x14ac:dyDescent="0.35">
      <c r="A807" s="2" t="s">
        <v>784</v>
      </c>
      <c r="B807" s="2" t="s">
        <v>368</v>
      </c>
      <c r="C807" s="3">
        <v>121.2</v>
      </c>
      <c r="D807" s="1">
        <v>140</v>
      </c>
      <c r="E807" t="str">
        <f>VLOOKUP(A807,Sheet2!A:E,5,)</f>
        <v>SOV 1965 RUM</v>
      </c>
      <c r="F807" t="s">
        <v>374</v>
      </c>
      <c r="G807" s="3">
        <v>121.2</v>
      </c>
      <c r="H807" s="1">
        <v>140</v>
      </c>
    </row>
    <row r="808" spans="1:8" x14ac:dyDescent="0.35">
      <c r="A808" s="2" t="s">
        <v>785</v>
      </c>
      <c r="B808" s="2" t="s">
        <v>370</v>
      </c>
      <c r="C808" s="3">
        <v>250.09</v>
      </c>
      <c r="D808" s="1">
        <v>290</v>
      </c>
      <c r="E808" t="str">
        <f>VLOOKUP(A808,Sheet2!A:E,5,)</f>
        <v>SOV 1965 RUM</v>
      </c>
      <c r="F808" t="s">
        <v>5</v>
      </c>
      <c r="G808" s="3">
        <v>250.09</v>
      </c>
      <c r="H808" s="1">
        <v>290</v>
      </c>
    </row>
    <row r="809" spans="1:8" x14ac:dyDescent="0.35">
      <c r="A809" s="2" t="s">
        <v>786</v>
      </c>
      <c r="B809" s="2" t="s">
        <v>369</v>
      </c>
      <c r="C809" s="3">
        <v>480.42</v>
      </c>
      <c r="D809" s="1">
        <v>540</v>
      </c>
      <c r="E809" t="str">
        <f>VLOOKUP(A809,Sheet2!A:E,5,)</f>
        <v>SOV 1965 RUM</v>
      </c>
      <c r="F809" t="s">
        <v>4</v>
      </c>
      <c r="G809" s="3">
        <v>480.42</v>
      </c>
      <c r="H809" s="1">
        <v>540</v>
      </c>
    </row>
    <row r="810" spans="1:8" x14ac:dyDescent="0.35">
      <c r="A810" s="2" t="s">
        <v>787</v>
      </c>
      <c r="B810" s="2" t="s">
        <v>369</v>
      </c>
      <c r="C810" s="3">
        <v>4737.46</v>
      </c>
      <c r="D810" s="1">
        <v>5310</v>
      </c>
      <c r="E810" t="str">
        <f>VLOOKUP(A810,Sheet2!A:E,5,)</f>
        <v>SPIRIT OF VICTORY 1999 MALT WHY</v>
      </c>
      <c r="F810" t="s">
        <v>4</v>
      </c>
      <c r="G810" s="3">
        <v>4737.46</v>
      </c>
      <c r="H810" s="1">
        <v>5310</v>
      </c>
    </row>
    <row r="811" spans="1:8" x14ac:dyDescent="0.35">
      <c r="A811" s="2" t="s">
        <v>788</v>
      </c>
      <c r="B811" s="2" t="s">
        <v>368</v>
      </c>
      <c r="C811" s="3">
        <v>168.01</v>
      </c>
      <c r="D811" s="1">
        <v>190</v>
      </c>
      <c r="E811" t="str">
        <f>VLOOKUP(A811,Sheet2!A:E,5,)</f>
        <v>SRISHTI SELECT COLLECTION FINEST WHISKY</v>
      </c>
      <c r="F811" t="s">
        <v>374</v>
      </c>
      <c r="G811" s="3">
        <v>168.01</v>
      </c>
      <c r="H811" s="1">
        <v>190</v>
      </c>
    </row>
    <row r="812" spans="1:8" x14ac:dyDescent="0.35">
      <c r="A812" s="2" t="s">
        <v>789</v>
      </c>
      <c r="B812" s="2" t="s">
        <v>370</v>
      </c>
      <c r="C812" s="3">
        <v>325.01</v>
      </c>
      <c r="D812" s="1">
        <v>370</v>
      </c>
      <c r="E812" t="str">
        <f>VLOOKUP(A812,Sheet2!A:E,5,)</f>
        <v>SRISHTI SELECT COLLECTION FINEST WHISKY</v>
      </c>
      <c r="F812" t="s">
        <v>5</v>
      </c>
      <c r="G812" s="3">
        <v>325.01</v>
      </c>
      <c r="H812" s="1">
        <v>370</v>
      </c>
    </row>
    <row r="813" spans="1:8" x14ac:dyDescent="0.35">
      <c r="A813" s="2" t="s">
        <v>790</v>
      </c>
      <c r="B813" s="2" t="s">
        <v>369</v>
      </c>
      <c r="C813" s="3">
        <v>638.37</v>
      </c>
      <c r="D813" s="1">
        <v>720</v>
      </c>
      <c r="E813" t="str">
        <f>VLOOKUP(A813,Sheet2!A:E,5,)</f>
        <v>SRISHTI SELECT COLLECTION FINEST WHISKY</v>
      </c>
      <c r="F813" t="s">
        <v>4</v>
      </c>
      <c r="G813" s="3">
        <v>638.37</v>
      </c>
      <c r="H813" s="1">
        <v>720</v>
      </c>
    </row>
    <row r="814" spans="1:8" x14ac:dyDescent="0.35">
      <c r="A814" s="2" t="s">
        <v>791</v>
      </c>
      <c r="B814" s="2" t="s">
        <v>372</v>
      </c>
      <c r="C814" s="3">
        <v>168.14</v>
      </c>
      <c r="D814" s="1">
        <v>190</v>
      </c>
      <c r="E814" t="str">
        <f>VLOOKUP(A814,Sheet2!A:E,5,)</f>
        <v>STAINLY LUXURY WHISKY</v>
      </c>
      <c r="F814" t="s">
        <v>374</v>
      </c>
      <c r="G814" s="3">
        <v>168.14</v>
      </c>
      <c r="H814" s="1">
        <v>190</v>
      </c>
    </row>
    <row r="815" spans="1:8" x14ac:dyDescent="0.35">
      <c r="A815" s="2" t="s">
        <v>792</v>
      </c>
      <c r="B815" s="2" t="s">
        <v>369</v>
      </c>
      <c r="C815" s="3">
        <v>628.91</v>
      </c>
      <c r="D815" s="1">
        <v>710</v>
      </c>
      <c r="E815" t="str">
        <f>VLOOKUP(A815,Sheet2!A:E,5,)</f>
        <v>STAINLY LUXURY WHISKY</v>
      </c>
      <c r="F815" t="s">
        <v>4</v>
      </c>
      <c r="G815" s="3">
        <v>628.91</v>
      </c>
      <c r="H815" s="1">
        <v>710</v>
      </c>
    </row>
    <row r="816" spans="1:8" x14ac:dyDescent="0.35">
      <c r="A816" s="2" t="s">
        <v>949</v>
      </c>
      <c r="B816" s="2" t="s">
        <v>368</v>
      </c>
      <c r="C816" s="3">
        <v>206.76</v>
      </c>
      <c r="D816" s="1">
        <v>240</v>
      </c>
      <c r="E816" t="str">
        <f>VLOOKUP(A816,Sheet2!A:E,5,)</f>
        <v>STAR WALKER WHISKY</v>
      </c>
      <c r="F816" t="s">
        <v>374</v>
      </c>
      <c r="G816" s="3">
        <v>206.76</v>
      </c>
      <c r="H816" s="1">
        <v>240</v>
      </c>
    </row>
    <row r="817" spans="1:8" x14ac:dyDescent="0.35">
      <c r="A817" s="2" t="s">
        <v>949</v>
      </c>
      <c r="B817" s="2" t="s">
        <v>370</v>
      </c>
      <c r="C817" s="3">
        <v>421.93</v>
      </c>
      <c r="D817" s="1">
        <v>480</v>
      </c>
      <c r="E817" t="str">
        <f>VLOOKUP(A817,Sheet2!A:E,5,)</f>
        <v>STAR WALKER WHISKY</v>
      </c>
      <c r="F817" t="s">
        <v>5</v>
      </c>
      <c r="G817" s="3">
        <v>421.93</v>
      </c>
      <c r="H817" s="1">
        <v>480</v>
      </c>
    </row>
    <row r="818" spans="1:8" x14ac:dyDescent="0.35">
      <c r="A818" s="2" t="s">
        <v>949</v>
      </c>
      <c r="B818" s="2" t="s">
        <v>369</v>
      </c>
      <c r="C818" s="3">
        <v>819.5</v>
      </c>
      <c r="D818" s="1">
        <v>920</v>
      </c>
      <c r="E818" t="str">
        <f>VLOOKUP(A818,Sheet2!A:E,5,)</f>
        <v>STAR WALKER WHISKY</v>
      </c>
      <c r="F818" t="s">
        <v>4</v>
      </c>
      <c r="G818" s="3">
        <v>819.5</v>
      </c>
      <c r="H818" s="1">
        <v>920</v>
      </c>
    </row>
    <row r="819" spans="1:8" x14ac:dyDescent="0.35">
      <c r="A819" s="2" t="s">
        <v>793</v>
      </c>
      <c r="B819" s="2" t="s">
        <v>372</v>
      </c>
      <c r="C819" s="3">
        <v>168.57</v>
      </c>
      <c r="D819" s="1">
        <v>190</v>
      </c>
      <c r="E819" t="str">
        <f>VLOOKUP(A819,Sheet2!A:E,5,)</f>
        <v>STERLING RESERVE BX HIPPY WHISKY</v>
      </c>
      <c r="F819" t="s">
        <v>374</v>
      </c>
      <c r="G819" s="3">
        <v>168.57</v>
      </c>
      <c r="H819" s="1">
        <v>190</v>
      </c>
    </row>
    <row r="820" spans="1:8" x14ac:dyDescent="0.35">
      <c r="A820" s="2" t="s">
        <v>794</v>
      </c>
      <c r="B820" s="2" t="s">
        <v>369</v>
      </c>
      <c r="C820" s="3">
        <v>3077.98</v>
      </c>
      <c r="D820" s="1">
        <v>3450</v>
      </c>
      <c r="E820" t="str">
        <f>VLOOKUP(A820,Sheet2!A:E,5,)</f>
        <v>STOLI GOLD PREMIUM VODKA</v>
      </c>
      <c r="F820" t="s">
        <v>4</v>
      </c>
      <c r="G820" s="3">
        <v>3077.98</v>
      </c>
      <c r="H820" s="1">
        <v>3450</v>
      </c>
    </row>
    <row r="821" spans="1:8" x14ac:dyDescent="0.35">
      <c r="A821" s="2" t="s">
        <v>288</v>
      </c>
      <c r="B821" s="2" t="s">
        <v>369</v>
      </c>
      <c r="C821" s="3">
        <v>2871.26</v>
      </c>
      <c r="D821" s="1">
        <v>3220</v>
      </c>
      <c r="E821" t="str">
        <f>VLOOKUP(A821,Sheet2!A:E,5,)</f>
        <v>STOLI GOLD PREMIUM VODKA</v>
      </c>
      <c r="F821" t="s">
        <v>4</v>
      </c>
      <c r="G821" s="3">
        <v>2871.26</v>
      </c>
      <c r="H821" s="1">
        <v>3220</v>
      </c>
    </row>
    <row r="822" spans="1:8" x14ac:dyDescent="0.35">
      <c r="A822" s="2" t="s">
        <v>795</v>
      </c>
      <c r="B822" s="2" t="s">
        <v>369</v>
      </c>
      <c r="C822" s="3">
        <v>1190.6400000000001</v>
      </c>
      <c r="D822" s="1">
        <v>1340</v>
      </c>
      <c r="E822" t="str">
        <f>VLOOKUP(A822,Sheet2!A:E,5,)</f>
        <v>SULA BRUT METHODE TRADIOTIONELLE</v>
      </c>
      <c r="F822" t="s">
        <v>4</v>
      </c>
      <c r="G822" s="3">
        <v>1190.6400000000001</v>
      </c>
      <c r="H822" s="1">
        <v>1340</v>
      </c>
    </row>
    <row r="823" spans="1:8" x14ac:dyDescent="0.35">
      <c r="A823" s="2" t="s">
        <v>796</v>
      </c>
      <c r="B823" s="2" t="s">
        <v>369</v>
      </c>
      <c r="C823" s="3">
        <v>746.28</v>
      </c>
      <c r="D823" s="1">
        <v>840</v>
      </c>
      <c r="E823" t="str">
        <f>VLOOKUP(A823,Sheet2!A:E,5,)</f>
        <v>SULA CHENIN BLANC</v>
      </c>
      <c r="F823" t="s">
        <v>4</v>
      </c>
      <c r="G823" s="3">
        <v>746.28</v>
      </c>
      <c r="H823" s="1">
        <v>840</v>
      </c>
    </row>
    <row r="824" spans="1:8" x14ac:dyDescent="0.35">
      <c r="A824" s="2" t="s">
        <v>289</v>
      </c>
      <c r="B824" s="2" t="s">
        <v>369</v>
      </c>
      <c r="C824" s="3">
        <v>1111.1099999999999</v>
      </c>
      <c r="D824" s="1">
        <v>1250</v>
      </c>
      <c r="E824" t="str">
        <f>VLOOKUP(A824,Sheet2!A:E,5,)</f>
        <v>SULA DINDORI RESERVE CHARDONARY WHITE</v>
      </c>
      <c r="F824" t="s">
        <v>4</v>
      </c>
      <c r="G824" s="3">
        <v>1111.1099999999999</v>
      </c>
      <c r="H824" s="1">
        <v>1250</v>
      </c>
    </row>
    <row r="825" spans="1:8" x14ac:dyDescent="0.35">
      <c r="A825" s="2" t="s">
        <v>797</v>
      </c>
      <c r="B825" s="2" t="s">
        <v>369</v>
      </c>
      <c r="C825" s="3">
        <v>1085.6199999999999</v>
      </c>
      <c r="D825" s="1">
        <v>1220</v>
      </c>
      <c r="E825" t="str">
        <f>VLOOKUP(A825,Sheet2!A:E,5,)</f>
        <v>SULA DINDORI RESERVE SHIRAZ RED</v>
      </c>
      <c r="F825" t="s">
        <v>4</v>
      </c>
      <c r="G825" s="3">
        <v>1085.6199999999999</v>
      </c>
      <c r="H825" s="1">
        <v>1220</v>
      </c>
    </row>
    <row r="826" spans="1:8" x14ac:dyDescent="0.35">
      <c r="A826" s="2" t="s">
        <v>798</v>
      </c>
      <c r="B826" s="2" t="s">
        <v>369</v>
      </c>
      <c r="C826" s="3">
        <v>545.85</v>
      </c>
      <c r="D826" s="1">
        <v>620</v>
      </c>
      <c r="E826" t="str">
        <f>VLOOKUP(A826,Sheet2!A:E,5,)</f>
        <v>SULA NASIK PORT GOLD WINE</v>
      </c>
      <c r="F826" t="s">
        <v>4</v>
      </c>
      <c r="G826" s="3">
        <v>545.85</v>
      </c>
      <c r="H826" s="1">
        <v>620</v>
      </c>
    </row>
    <row r="827" spans="1:8" x14ac:dyDescent="0.35">
      <c r="A827" s="2" t="s">
        <v>799</v>
      </c>
      <c r="B827" s="2" t="s">
        <v>370</v>
      </c>
      <c r="C827" s="3">
        <v>387.6</v>
      </c>
      <c r="D827" s="1">
        <v>440</v>
      </c>
      <c r="E827" t="str">
        <f>VLOOKUP(A827,Sheet2!A:E,5,)</f>
        <v>SULA SATORI TEMPRANILLO RED</v>
      </c>
      <c r="F827" t="s">
        <v>5</v>
      </c>
      <c r="G827" s="3">
        <v>387.6</v>
      </c>
      <c r="H827" s="1">
        <v>440</v>
      </c>
    </row>
    <row r="828" spans="1:8" x14ac:dyDescent="0.35">
      <c r="A828" s="2" t="s">
        <v>800</v>
      </c>
      <c r="B828" s="2" t="s">
        <v>369</v>
      </c>
      <c r="C828" s="3">
        <v>755.45</v>
      </c>
      <c r="D828" s="1">
        <v>850</v>
      </c>
      <c r="E828" t="str">
        <f>VLOOKUP(A828,Sheet2!A:E,5,)</f>
        <v>SULA SATORI TEMPRANILLO RED</v>
      </c>
      <c r="F828" t="s">
        <v>4</v>
      </c>
      <c r="G828" s="3">
        <v>755.45</v>
      </c>
      <c r="H828" s="1">
        <v>850</v>
      </c>
    </row>
    <row r="829" spans="1:8" x14ac:dyDescent="0.35">
      <c r="A829" s="2" t="s">
        <v>801</v>
      </c>
      <c r="B829" s="2" t="s">
        <v>369</v>
      </c>
      <c r="C829" s="3">
        <v>703.85</v>
      </c>
      <c r="D829" s="1">
        <v>790</v>
      </c>
      <c r="E829" t="str">
        <f>VLOOKUP(A829,Sheet2!A:E,5,)</f>
        <v>SULA SECO METHODE CLASSIQUE</v>
      </c>
      <c r="F829" t="s">
        <v>4</v>
      </c>
      <c r="G829" s="3">
        <v>703.85</v>
      </c>
      <c r="H829" s="1">
        <v>790</v>
      </c>
    </row>
    <row r="830" spans="1:8" x14ac:dyDescent="0.35">
      <c r="A830" s="2" t="s">
        <v>802</v>
      </c>
      <c r="B830" s="2" t="s">
        <v>369</v>
      </c>
      <c r="C830" s="3">
        <v>777.44</v>
      </c>
      <c r="D830" s="1">
        <v>880</v>
      </c>
      <c r="E830" t="str">
        <f>VLOOKUP(A830,Sheet2!A:E,5,)</f>
        <v>SULA SECO WHITE</v>
      </c>
      <c r="F830" t="s">
        <v>4</v>
      </c>
      <c r="G830" s="3">
        <v>777.44</v>
      </c>
      <c r="H830" s="1">
        <v>880</v>
      </c>
    </row>
    <row r="831" spans="1:8" x14ac:dyDescent="0.35">
      <c r="A831" s="2" t="s">
        <v>290</v>
      </c>
      <c r="B831" s="2" t="s">
        <v>369</v>
      </c>
      <c r="C831" s="3">
        <v>1384.82</v>
      </c>
      <c r="D831" s="1">
        <v>1560</v>
      </c>
      <c r="E831" t="str">
        <f>VLOOKUP(A831,Sheet2!A:E,5,)</f>
        <v>SULA TROPICAL ROSE</v>
      </c>
      <c r="F831" t="s">
        <v>4</v>
      </c>
      <c r="G831" s="3">
        <v>1384.82</v>
      </c>
      <c r="H831" s="1">
        <v>1560</v>
      </c>
    </row>
    <row r="832" spans="1:8" x14ac:dyDescent="0.35">
      <c r="A832" s="2" t="s">
        <v>803</v>
      </c>
      <c r="B832" s="2" t="s">
        <v>369</v>
      </c>
      <c r="C832" s="3">
        <v>698.31</v>
      </c>
      <c r="D832" s="1">
        <v>790</v>
      </c>
      <c r="E832" t="str">
        <f>VLOOKUP(A832,Sheet2!A:E,5,)</f>
        <v>SULA VINEYARDS CHENIN BLANC WHITE</v>
      </c>
      <c r="F832" t="s">
        <v>4</v>
      </c>
      <c r="G832" s="3">
        <v>698.31</v>
      </c>
      <c r="H832" s="1">
        <v>790</v>
      </c>
    </row>
    <row r="833" spans="1:8" x14ac:dyDescent="0.35">
      <c r="A833" s="2" t="s">
        <v>804</v>
      </c>
      <c r="B833" s="2" t="s">
        <v>369</v>
      </c>
      <c r="C833" s="3">
        <v>928.58</v>
      </c>
      <c r="D833" s="1">
        <v>1050</v>
      </c>
      <c r="E833" t="str">
        <f>VLOOKUP(A833,Sheet2!A:E,5,)</f>
        <v>SULA VINEYARDS RIESLING WHITE</v>
      </c>
      <c r="F833" t="s">
        <v>4</v>
      </c>
      <c r="G833" s="3">
        <v>928.58</v>
      </c>
      <c r="H833" s="1">
        <v>1050</v>
      </c>
    </row>
    <row r="834" spans="1:8" x14ac:dyDescent="0.35">
      <c r="A834" s="2" t="s">
        <v>805</v>
      </c>
      <c r="B834" s="2" t="s">
        <v>370</v>
      </c>
      <c r="C834" s="3">
        <v>391.4</v>
      </c>
      <c r="D834" s="1">
        <v>440</v>
      </c>
      <c r="E834" t="str">
        <f>VLOOKUP(A834,Sheet2!A:E,5,)</f>
        <v>SULA VINEYARDS SAUVIGNON BLANC WHITE</v>
      </c>
      <c r="F834" t="s">
        <v>5</v>
      </c>
      <c r="G834" s="3">
        <v>391.4</v>
      </c>
      <c r="H834" s="1">
        <v>440</v>
      </c>
    </row>
    <row r="835" spans="1:8" x14ac:dyDescent="0.35">
      <c r="A835" s="2" t="s">
        <v>806</v>
      </c>
      <c r="B835" s="2" t="s">
        <v>369</v>
      </c>
      <c r="C835" s="3">
        <v>782.74</v>
      </c>
      <c r="D835" s="1">
        <v>880</v>
      </c>
      <c r="E835" t="str">
        <f>VLOOKUP(A835,Sheet2!A:E,5,)</f>
        <v>SULA VINEYARDS SAUVIGNON BLANC WHITE</v>
      </c>
      <c r="F835" t="s">
        <v>4</v>
      </c>
      <c r="G835" s="3">
        <v>782.74</v>
      </c>
      <c r="H835" s="1">
        <v>880</v>
      </c>
    </row>
    <row r="836" spans="1:8" x14ac:dyDescent="0.35">
      <c r="A836" s="2" t="s">
        <v>807</v>
      </c>
      <c r="B836" s="2" t="s">
        <v>370</v>
      </c>
      <c r="C836" s="3">
        <v>359.91</v>
      </c>
      <c r="D836" s="1">
        <v>410</v>
      </c>
      <c r="E836" t="str">
        <f>VLOOKUP(A836,Sheet2!A:E,5,)</f>
        <v>SULA VINEYARDS SHIRAZ CABERNET RED</v>
      </c>
      <c r="F836" t="s">
        <v>5</v>
      </c>
      <c r="G836" s="3">
        <v>359.91</v>
      </c>
      <c r="H836" s="1">
        <v>410</v>
      </c>
    </row>
    <row r="837" spans="1:8" x14ac:dyDescent="0.35">
      <c r="A837" s="2" t="s">
        <v>808</v>
      </c>
      <c r="B837" s="2" t="s">
        <v>369</v>
      </c>
      <c r="C837" s="3">
        <v>709.59</v>
      </c>
      <c r="D837" s="1">
        <v>800</v>
      </c>
      <c r="E837" t="str">
        <f>VLOOKUP(A837,Sheet2!A:E,5,)</f>
        <v>SULA VINEYARDS SHIRAZ CABERNET RED</v>
      </c>
      <c r="F837" t="s">
        <v>4</v>
      </c>
      <c r="G837" s="3">
        <v>709.59</v>
      </c>
      <c r="H837" s="1">
        <v>800</v>
      </c>
    </row>
    <row r="838" spans="1:8" x14ac:dyDescent="0.35">
      <c r="A838" s="2" t="s">
        <v>809</v>
      </c>
      <c r="B838" s="2" t="s">
        <v>369</v>
      </c>
      <c r="C838" s="3">
        <v>582.36</v>
      </c>
      <c r="D838" s="1">
        <v>660</v>
      </c>
      <c r="E838" t="str">
        <f>VLOOKUP(A838,Sheet2!A:E,5,)</f>
        <v>SULA VINEYARDS ZINFANDEL</v>
      </c>
      <c r="F838" t="s">
        <v>4</v>
      </c>
      <c r="G838" s="3">
        <v>582.36</v>
      </c>
      <c r="H838" s="1">
        <v>660</v>
      </c>
    </row>
    <row r="839" spans="1:8" x14ac:dyDescent="0.35">
      <c r="A839" s="2" t="s">
        <v>291</v>
      </c>
      <c r="B839" s="2" t="s">
        <v>369</v>
      </c>
      <c r="C839" s="3">
        <v>663.46</v>
      </c>
      <c r="D839" s="1">
        <v>750</v>
      </c>
      <c r="E839" t="str">
        <f>VLOOKUP(A839,Sheet2!A:E,5,)</f>
        <v>SULA ZINFANDEL RED</v>
      </c>
      <c r="F839" t="s">
        <v>4</v>
      </c>
      <c r="G839" s="3">
        <v>663.46</v>
      </c>
      <c r="H839" s="1">
        <v>750</v>
      </c>
    </row>
    <row r="840" spans="1:8" x14ac:dyDescent="0.35">
      <c r="A840" s="2" t="s">
        <v>292</v>
      </c>
      <c r="B840" s="2" t="s">
        <v>369</v>
      </c>
      <c r="C840" s="3">
        <v>579.45000000000005</v>
      </c>
      <c r="D840" s="1">
        <v>650</v>
      </c>
      <c r="E840" t="str">
        <f>VLOOKUP(A840,Sheet2!A:E,5,)</f>
        <v>SULA ZINFANDEL ROSE</v>
      </c>
      <c r="F840" t="s">
        <v>4</v>
      </c>
      <c r="G840" s="3">
        <v>579.45000000000005</v>
      </c>
      <c r="H840" s="1">
        <v>650</v>
      </c>
    </row>
    <row r="841" spans="1:8" x14ac:dyDescent="0.35">
      <c r="A841" s="2" t="s">
        <v>293</v>
      </c>
      <c r="B841" s="2" t="s">
        <v>367</v>
      </c>
      <c r="C841" s="3">
        <v>3291.31</v>
      </c>
      <c r="D841" s="1">
        <v>3690</v>
      </c>
      <c r="E841" t="str">
        <f>VLOOKUP(A841,Sheet2!A:E,5,)</f>
        <v>SUNTORY WHISKY TOKI</v>
      </c>
      <c r="F841" t="s">
        <v>4</v>
      </c>
      <c r="G841" s="3">
        <v>3291.31</v>
      </c>
      <c r="H841" s="1">
        <v>3690</v>
      </c>
    </row>
    <row r="842" spans="1:8" x14ac:dyDescent="0.35">
      <c r="A842" s="2" t="s">
        <v>294</v>
      </c>
      <c r="B842" s="2" t="s">
        <v>369</v>
      </c>
      <c r="C842" s="3">
        <v>5657.37</v>
      </c>
      <c r="D842" s="1">
        <v>6340</v>
      </c>
      <c r="E842" t="str">
        <f>VLOOKUP(A842,Sheet2!A:E,5,)</f>
        <v>TALISKAR SINGLE MALT WHISKY</v>
      </c>
      <c r="F842" t="s">
        <v>4</v>
      </c>
      <c r="G842" s="3">
        <v>5657.37</v>
      </c>
      <c r="H842" s="1">
        <v>6340</v>
      </c>
    </row>
    <row r="843" spans="1:8" x14ac:dyDescent="0.35">
      <c r="A843" s="2" t="s">
        <v>295</v>
      </c>
      <c r="B843" s="2" t="s">
        <v>369</v>
      </c>
      <c r="C843" s="3">
        <v>4247.92</v>
      </c>
      <c r="D843" s="1">
        <v>4760</v>
      </c>
      <c r="E843" t="str">
        <f>VLOOKUP(A843,Sheet2!A:E,5,)</f>
        <v>TALISKER 10Y</v>
      </c>
      <c r="F843" t="s">
        <v>4</v>
      </c>
      <c r="G843" s="3">
        <v>4247.92</v>
      </c>
      <c r="H843" s="1">
        <v>4760</v>
      </c>
    </row>
    <row r="844" spans="1:8" x14ac:dyDescent="0.35">
      <c r="A844" s="4" t="s">
        <v>950</v>
      </c>
      <c r="B844" s="2" t="s">
        <v>369</v>
      </c>
      <c r="C844" s="3">
        <v>1630.68</v>
      </c>
      <c r="D844" s="1">
        <v>1830</v>
      </c>
      <c r="E844" t="str">
        <f>VLOOKUP(A844,Sheet2!A:E,5,)</f>
        <v>TAMERLANE WHISKY</v>
      </c>
      <c r="F844" t="s">
        <v>4</v>
      </c>
      <c r="G844" s="3">
        <v>1630.68</v>
      </c>
      <c r="H844" s="1">
        <v>1830</v>
      </c>
    </row>
    <row r="845" spans="1:8" x14ac:dyDescent="0.35">
      <c r="A845" s="2" t="s">
        <v>810</v>
      </c>
      <c r="B845" s="2" t="s">
        <v>367</v>
      </c>
      <c r="C845" s="3">
        <v>2581</v>
      </c>
      <c r="D845" s="1">
        <v>2900</v>
      </c>
      <c r="E845" t="str">
        <f>VLOOKUP(A845,Sheet2!A:E,5,)</f>
        <v>TANQUERAY RANGPUR LIME GIN</v>
      </c>
      <c r="F845" t="s">
        <v>4</v>
      </c>
      <c r="G845" s="3">
        <v>2581</v>
      </c>
      <c r="H845" s="1">
        <v>2900</v>
      </c>
    </row>
    <row r="846" spans="1:8" x14ac:dyDescent="0.35">
      <c r="A846" s="2" t="s">
        <v>296</v>
      </c>
      <c r="B846" s="2" t="s">
        <v>369</v>
      </c>
      <c r="C846" s="3">
        <v>3527.56</v>
      </c>
      <c r="D846" s="1">
        <v>3960</v>
      </c>
      <c r="E846" t="str">
        <f>VLOOKUP(A846,Sheet2!A:E,5,)</f>
        <v>TANQUERY LON DRY GIN</v>
      </c>
      <c r="F846" t="s">
        <v>4</v>
      </c>
      <c r="G846" s="3">
        <v>3527.56</v>
      </c>
      <c r="H846" s="1">
        <v>3960</v>
      </c>
    </row>
    <row r="847" spans="1:8" x14ac:dyDescent="0.35">
      <c r="A847" s="2" t="s">
        <v>297</v>
      </c>
      <c r="B847" s="2" t="s">
        <v>369</v>
      </c>
      <c r="C847" s="3">
        <v>1734.17</v>
      </c>
      <c r="D847" s="1">
        <v>1950</v>
      </c>
      <c r="E847" t="str">
        <f>VLOOKUP(A847,Sheet2!A:E,5,)</f>
        <v>TANQUERY LON DRY GIN</v>
      </c>
      <c r="F847" t="s">
        <v>4</v>
      </c>
      <c r="G847" s="3">
        <v>1734.17</v>
      </c>
      <c r="H847" s="1">
        <v>1950</v>
      </c>
    </row>
    <row r="848" spans="1:8" x14ac:dyDescent="0.35">
      <c r="A848" s="2" t="s">
        <v>811</v>
      </c>
      <c r="B848" s="2" t="s">
        <v>369</v>
      </c>
      <c r="C848" s="3">
        <v>5560.35</v>
      </c>
      <c r="D848" s="1">
        <v>6230</v>
      </c>
      <c r="E848" t="str">
        <f>VLOOKUP(A848,Sheet2!A:E,5,)</f>
        <v>TAQUILA RESERVA 0 ANEJO 100%</v>
      </c>
      <c r="F848" t="s">
        <v>4</v>
      </c>
      <c r="G848" s="3">
        <v>5560.35</v>
      </c>
      <c r="H848" s="1">
        <v>6230</v>
      </c>
    </row>
    <row r="849" spans="1:8" x14ac:dyDescent="0.35">
      <c r="A849" s="2" t="s">
        <v>298</v>
      </c>
      <c r="B849" s="2" t="s">
        <v>369</v>
      </c>
      <c r="C849" s="3">
        <v>1862.86</v>
      </c>
      <c r="D849" s="1">
        <v>2090</v>
      </c>
      <c r="E849" t="str">
        <f>VLOOKUP(A849,Sheet2!A:E,5,)</f>
        <v>TARAI INDIA DRY GIN</v>
      </c>
      <c r="F849" t="s">
        <v>4</v>
      </c>
      <c r="G849" s="3">
        <v>1862.86</v>
      </c>
      <c r="H849" s="1">
        <v>2090</v>
      </c>
    </row>
    <row r="850" spans="1:8" x14ac:dyDescent="0.35">
      <c r="A850" s="2" t="s">
        <v>812</v>
      </c>
      <c r="B850" s="2" t="s">
        <v>369</v>
      </c>
      <c r="C850" s="3">
        <v>2112.42</v>
      </c>
      <c r="D850" s="1">
        <v>2370</v>
      </c>
      <c r="E850" t="str">
        <f>VLOOKUP(A850,Sheet2!A:E,5,)</f>
        <v>TARAI LITCHUS&amp;MULBERRES</v>
      </c>
      <c r="F850" t="s">
        <v>4</v>
      </c>
      <c r="G850" s="3">
        <v>2112.42</v>
      </c>
      <c r="H850" s="1">
        <v>2370</v>
      </c>
    </row>
    <row r="851" spans="1:8" x14ac:dyDescent="0.35">
      <c r="A851" s="2" t="s">
        <v>813</v>
      </c>
      <c r="B851" s="2" t="s">
        <v>368</v>
      </c>
      <c r="C851" s="3">
        <v>524.83000000000004</v>
      </c>
      <c r="D851" s="1">
        <v>590</v>
      </c>
      <c r="E851" t="str">
        <f>VLOOKUP(A851,Sheet2!A:E,5,)</f>
        <v>TEACHERS 50 BLENDED SCOTCH</v>
      </c>
      <c r="F851" t="s">
        <v>374</v>
      </c>
      <c r="G851" s="3">
        <v>524.83000000000004</v>
      </c>
      <c r="H851" s="1">
        <v>590</v>
      </c>
    </row>
    <row r="852" spans="1:8" x14ac:dyDescent="0.35">
      <c r="A852" s="2" t="s">
        <v>814</v>
      </c>
      <c r="B852" s="2" t="s">
        <v>370</v>
      </c>
      <c r="C852" s="3">
        <v>1066.72</v>
      </c>
      <c r="D852" s="1">
        <v>1200</v>
      </c>
      <c r="E852" t="str">
        <f>VLOOKUP(A852,Sheet2!A:E,5,)</f>
        <v>TEACHERS 50 BLENDED SCOTCH</v>
      </c>
      <c r="F852" t="s">
        <v>5</v>
      </c>
      <c r="G852" s="3">
        <v>1066.72</v>
      </c>
      <c r="H852" s="1">
        <v>1200</v>
      </c>
    </row>
    <row r="853" spans="1:8" x14ac:dyDescent="0.35">
      <c r="A853" s="2" t="s">
        <v>815</v>
      </c>
      <c r="B853" s="2" t="s">
        <v>369</v>
      </c>
      <c r="C853" s="3">
        <v>2083.44</v>
      </c>
      <c r="D853" s="1">
        <v>2340</v>
      </c>
      <c r="E853" t="str">
        <f>VLOOKUP(A853,Sheet2!A:E,5,)</f>
        <v>TEACHERS 50 BLENDED SCOTCH</v>
      </c>
      <c r="F853" t="s">
        <v>4</v>
      </c>
      <c r="G853" s="3">
        <v>2083.44</v>
      </c>
      <c r="H853" s="1">
        <v>2340</v>
      </c>
    </row>
    <row r="854" spans="1:8" x14ac:dyDescent="0.35">
      <c r="A854" s="2" t="s">
        <v>816</v>
      </c>
      <c r="B854" s="2" t="s">
        <v>369</v>
      </c>
      <c r="C854" s="3">
        <v>2362.8200000000002</v>
      </c>
      <c r="D854" s="1">
        <v>2650</v>
      </c>
      <c r="E854" t="str">
        <f>VLOOKUP(A854,Sheet2!A:E,5,)</f>
        <v>TEACHERS GOLDEN THISTLE SCOTCH</v>
      </c>
      <c r="F854" t="s">
        <v>4</v>
      </c>
      <c r="G854" s="3">
        <v>2362.8200000000002</v>
      </c>
      <c r="H854" s="1">
        <v>2650</v>
      </c>
    </row>
    <row r="855" spans="1:8" x14ac:dyDescent="0.35">
      <c r="A855" s="2" t="s">
        <v>299</v>
      </c>
      <c r="B855" s="2" t="s">
        <v>371</v>
      </c>
      <c r="C855" s="3">
        <v>129.97999999999999</v>
      </c>
      <c r="D855" s="1">
        <v>150</v>
      </c>
      <c r="E855" t="str">
        <f>VLOOKUP(A855,Sheet2!A:E,5,)</f>
        <v>TEACHERS HIGH LAND CREAM</v>
      </c>
      <c r="F855" t="s">
        <v>376</v>
      </c>
      <c r="G855" s="3">
        <v>129.97999999999999</v>
      </c>
      <c r="H855" s="1">
        <v>150</v>
      </c>
    </row>
    <row r="856" spans="1:8" x14ac:dyDescent="0.35">
      <c r="A856" s="2" t="s">
        <v>300</v>
      </c>
      <c r="B856" s="2" t="s">
        <v>368</v>
      </c>
      <c r="C856" s="3">
        <v>361.09</v>
      </c>
      <c r="D856" s="1">
        <v>410</v>
      </c>
      <c r="E856" t="str">
        <f>VLOOKUP(A856,Sheet2!A:E,5,)</f>
        <v>TEACHERS HIGH LAND CREAM</v>
      </c>
      <c r="F856" t="s">
        <v>374</v>
      </c>
      <c r="G856" s="3">
        <v>361.09</v>
      </c>
      <c r="H856" s="1">
        <v>410</v>
      </c>
    </row>
    <row r="857" spans="1:8" x14ac:dyDescent="0.35">
      <c r="A857" s="2" t="s">
        <v>301</v>
      </c>
      <c r="B857" s="2" t="s">
        <v>370</v>
      </c>
      <c r="C857" s="3">
        <v>727.35</v>
      </c>
      <c r="D857" s="1">
        <v>820</v>
      </c>
      <c r="E857" t="str">
        <f>VLOOKUP(A857,Sheet2!A:E,5,)</f>
        <v>TEACHERS HIGH LAND CREAM</v>
      </c>
      <c r="F857" t="s">
        <v>5</v>
      </c>
      <c r="G857" s="3">
        <v>727.35</v>
      </c>
      <c r="H857" s="1">
        <v>820</v>
      </c>
    </row>
    <row r="858" spans="1:8" x14ac:dyDescent="0.35">
      <c r="A858" s="2" t="s">
        <v>302</v>
      </c>
      <c r="B858" s="2" t="s">
        <v>369</v>
      </c>
      <c r="C858" s="3">
        <v>1434.89</v>
      </c>
      <c r="D858" s="1">
        <v>1610</v>
      </c>
      <c r="E858" t="str">
        <f>VLOOKUP(A858,Sheet2!A:E,5,)</f>
        <v>TEACHERS HIGH LAND CREAM</v>
      </c>
      <c r="F858" t="s">
        <v>4</v>
      </c>
      <c r="G858" s="3">
        <v>1434.89</v>
      </c>
      <c r="H858" s="1">
        <v>1610</v>
      </c>
    </row>
    <row r="859" spans="1:8" x14ac:dyDescent="0.35">
      <c r="A859" s="2" t="s">
        <v>303</v>
      </c>
      <c r="B859" s="2" t="s">
        <v>369</v>
      </c>
      <c r="C859" s="3">
        <v>2161.2800000000002</v>
      </c>
      <c r="D859" s="1">
        <v>2430</v>
      </c>
      <c r="E859" t="str">
        <f>VLOOKUP(A859,Sheet2!A:E,5,)</f>
        <v>TEACHERS HIGHLAND CREAM SCOTCH</v>
      </c>
      <c r="F859" t="s">
        <v>4</v>
      </c>
      <c r="G859" s="3">
        <v>2161.2800000000002</v>
      </c>
      <c r="H859" s="1">
        <v>2430</v>
      </c>
    </row>
    <row r="860" spans="1:8" x14ac:dyDescent="0.35">
      <c r="A860" s="2" t="s">
        <v>304</v>
      </c>
      <c r="B860" s="2" t="s">
        <v>368</v>
      </c>
      <c r="C860" s="3">
        <v>476.66</v>
      </c>
      <c r="D860" s="1">
        <v>540</v>
      </c>
      <c r="E860" t="str">
        <f>VLOOKUP(A860,Sheet2!A:E,5,)</f>
        <v>TEACHERS RESERVE BLENDED SCOTCH WHISKY</v>
      </c>
      <c r="F860" t="s">
        <v>374</v>
      </c>
      <c r="G860" s="3">
        <v>476.66</v>
      </c>
      <c r="H860" s="1">
        <v>540</v>
      </c>
    </row>
    <row r="861" spans="1:8" x14ac:dyDescent="0.35">
      <c r="A861" s="2" t="s">
        <v>817</v>
      </c>
      <c r="B861" s="2" t="s">
        <v>370</v>
      </c>
      <c r="C861" s="3">
        <v>970.54</v>
      </c>
      <c r="D861" s="1">
        <v>1090</v>
      </c>
      <c r="E861" t="str">
        <f>VLOOKUP(A861,Sheet2!A:E,5,)</f>
        <v>TEACHERS RESERVE BLENDED SCOTCH WHISKY</v>
      </c>
      <c r="F861" t="s">
        <v>5</v>
      </c>
      <c r="G861" s="3">
        <v>970.54</v>
      </c>
      <c r="H861" s="1">
        <v>1090</v>
      </c>
    </row>
    <row r="862" spans="1:8" x14ac:dyDescent="0.35">
      <c r="A862" s="2" t="s">
        <v>305</v>
      </c>
      <c r="B862" s="2" t="s">
        <v>369</v>
      </c>
      <c r="C862" s="3">
        <v>1881.07</v>
      </c>
      <c r="D862" s="1">
        <v>2110</v>
      </c>
      <c r="E862" t="str">
        <f>VLOOKUP(A862,Sheet2!A:E,5,)</f>
        <v>TEACHERS RESERVE BLENDED SCOTCH WHISKY</v>
      </c>
      <c r="F862" t="s">
        <v>4</v>
      </c>
      <c r="G862" s="3">
        <v>1881.07</v>
      </c>
      <c r="H862" s="1">
        <v>2110</v>
      </c>
    </row>
    <row r="863" spans="1:8" x14ac:dyDescent="0.35">
      <c r="A863" s="2" t="s">
        <v>306</v>
      </c>
      <c r="B863" s="2" t="s">
        <v>369</v>
      </c>
      <c r="C863" s="3">
        <v>2547.04</v>
      </c>
      <c r="D863" s="1">
        <v>2860</v>
      </c>
      <c r="E863" t="str">
        <f>VLOOKUP(A863,Sheet2!A:E,5,)</f>
        <v>TEQUILA CAMINO REAL BLANCO</v>
      </c>
      <c r="F863" t="s">
        <v>4</v>
      </c>
      <c r="G863" s="3">
        <v>2547.04</v>
      </c>
      <c r="H863" s="1">
        <v>2860</v>
      </c>
    </row>
    <row r="864" spans="1:8" x14ac:dyDescent="0.35">
      <c r="A864" s="2" t="s">
        <v>818</v>
      </c>
      <c r="B864" s="2" t="s">
        <v>369</v>
      </c>
      <c r="C864" s="3">
        <v>1920.91</v>
      </c>
      <c r="D864" s="1">
        <v>2160</v>
      </c>
      <c r="E864" t="str">
        <f>VLOOKUP(A864,Sheet2!A:E,5,)</f>
        <v>TERAI INDIA CRAFT VODKA</v>
      </c>
      <c r="F864" t="s">
        <v>4</v>
      </c>
      <c r="G864" s="3">
        <v>1920.91</v>
      </c>
      <c r="H864" s="1">
        <v>2160</v>
      </c>
    </row>
    <row r="865" spans="1:8" x14ac:dyDescent="0.35">
      <c r="A865" s="2" t="s">
        <v>307</v>
      </c>
      <c r="B865" s="2" t="s">
        <v>369</v>
      </c>
      <c r="C865" s="3">
        <v>7147.49</v>
      </c>
      <c r="D865" s="1">
        <v>8010</v>
      </c>
      <c r="E865" t="str">
        <f>VLOOKUP(A865,Sheet2!A:E,5,)</f>
        <v>TERROIR DARONTON CHATEAUNEUF ROUG</v>
      </c>
      <c r="F865" t="s">
        <v>4</v>
      </c>
      <c r="G865" s="3">
        <v>7147.49</v>
      </c>
      <c r="H865" s="1">
        <v>8010</v>
      </c>
    </row>
    <row r="866" spans="1:8" x14ac:dyDescent="0.35">
      <c r="A866" s="2" t="s">
        <v>308</v>
      </c>
      <c r="B866" s="2" t="s">
        <v>367</v>
      </c>
      <c r="C866" s="3">
        <v>3573.09</v>
      </c>
      <c r="D866" s="1">
        <v>4010</v>
      </c>
      <c r="E866" t="str">
        <f>VLOOKUP(A866,Sheet2!A:E,5,)</f>
        <v>THE ARDMORE 12 YEARS</v>
      </c>
      <c r="F866" t="s">
        <v>4</v>
      </c>
      <c r="G866" s="3">
        <v>3573.09</v>
      </c>
      <c r="H866" s="1">
        <v>4010</v>
      </c>
    </row>
    <row r="867" spans="1:8" x14ac:dyDescent="0.35">
      <c r="A867" s="2" t="s">
        <v>309</v>
      </c>
      <c r="B867" s="2" t="s">
        <v>367</v>
      </c>
      <c r="C867" s="3">
        <v>2961.44</v>
      </c>
      <c r="D867" s="1">
        <v>3320</v>
      </c>
      <c r="E867" t="str">
        <f>VLOOKUP(A867,Sheet2!A:E,5,)</f>
        <v>THE ARDMORE SINGEL MALT SCOTCH WHISKY</v>
      </c>
      <c r="F867" t="s">
        <v>4</v>
      </c>
      <c r="G867" s="3">
        <v>2961.44</v>
      </c>
      <c r="H867" s="1">
        <v>3320</v>
      </c>
    </row>
    <row r="868" spans="1:8" x14ac:dyDescent="0.35">
      <c r="A868" s="2" t="s">
        <v>819</v>
      </c>
      <c r="B868" s="2" t="s">
        <v>369</v>
      </c>
      <c r="C868" s="3">
        <v>9450.67</v>
      </c>
      <c r="D868" s="1">
        <v>10590</v>
      </c>
      <c r="E868" t="str">
        <f>VLOOKUP(A868,Sheet2!A:E,5,)</f>
        <v>THE DALMORE 12YO SINGLE MALT</v>
      </c>
      <c r="F868" t="s">
        <v>4</v>
      </c>
      <c r="G868" s="3">
        <v>9450.67</v>
      </c>
      <c r="H868" s="1">
        <v>10590</v>
      </c>
    </row>
    <row r="869" spans="1:8" x14ac:dyDescent="0.35">
      <c r="A869" s="2" t="s">
        <v>820</v>
      </c>
      <c r="B869" s="2" t="s">
        <v>369</v>
      </c>
      <c r="C869" s="3">
        <v>11668.96</v>
      </c>
      <c r="D869" s="1">
        <v>13070</v>
      </c>
      <c r="E869" t="str">
        <f>VLOOKUP(A869,Sheet2!A:E,5,)</f>
        <v>THE DALMORE PORT WOOD</v>
      </c>
      <c r="F869" t="s">
        <v>4</v>
      </c>
      <c r="G869" s="3">
        <v>11668.96</v>
      </c>
      <c r="H869" s="1">
        <v>13070</v>
      </c>
    </row>
    <row r="870" spans="1:8" x14ac:dyDescent="0.35">
      <c r="A870" s="2" t="s">
        <v>821</v>
      </c>
      <c r="B870" s="2" t="s">
        <v>369</v>
      </c>
      <c r="C870" s="3">
        <v>12653.04</v>
      </c>
      <c r="D870" s="1">
        <v>14180</v>
      </c>
      <c r="E870" t="str">
        <f>VLOOKUP(A870,Sheet2!A:E,5,)</f>
        <v>THE DROVER CHARDONNY</v>
      </c>
      <c r="F870" t="s">
        <v>4</v>
      </c>
      <c r="G870" s="3">
        <v>12653.04</v>
      </c>
      <c r="H870" s="1">
        <v>14180</v>
      </c>
    </row>
    <row r="871" spans="1:8" x14ac:dyDescent="0.35">
      <c r="A871" s="2" t="s">
        <v>310</v>
      </c>
      <c r="B871" s="2" t="s">
        <v>369</v>
      </c>
      <c r="C871" s="3">
        <v>1399.1</v>
      </c>
      <c r="D871" s="1">
        <v>1570</v>
      </c>
      <c r="E871" t="str">
        <f>VLOOKUP(A871,Sheet2!A:E,5,)</f>
        <v>THE DROVER MERLOT/ PINOT GRIGIO</v>
      </c>
      <c r="F871" t="s">
        <v>4</v>
      </c>
      <c r="G871" s="3">
        <v>1399.1</v>
      </c>
      <c r="H871" s="1">
        <v>1570</v>
      </c>
    </row>
    <row r="872" spans="1:8" x14ac:dyDescent="0.35">
      <c r="A872" s="2" t="s">
        <v>822</v>
      </c>
      <c r="B872" s="2" t="s">
        <v>369</v>
      </c>
      <c r="C872" s="3">
        <v>1631.62</v>
      </c>
      <c r="D872" s="1">
        <v>1830</v>
      </c>
      <c r="E872" t="str">
        <f>VLOOKUP(A872,Sheet2!A:E,5,)</f>
        <v>THE DROVER SHIRAZ</v>
      </c>
      <c r="F872" t="s">
        <v>4</v>
      </c>
      <c r="G872" s="3">
        <v>1631.62</v>
      </c>
      <c r="H872" s="1">
        <v>1830</v>
      </c>
    </row>
    <row r="873" spans="1:8" x14ac:dyDescent="0.35">
      <c r="A873" s="2" t="s">
        <v>823</v>
      </c>
      <c r="B873" s="2" t="s">
        <v>369</v>
      </c>
      <c r="C873" s="3">
        <v>2011.12</v>
      </c>
      <c r="D873" s="1">
        <v>2260</v>
      </c>
      <c r="E873" t="str">
        <f>VLOOKUP(A873,Sheet2!A:E,5,)</f>
        <v>THE FAMOUS GROUSE</v>
      </c>
      <c r="F873" t="s">
        <v>4</v>
      </c>
      <c r="G873" s="3">
        <v>2011.12</v>
      </c>
      <c r="H873" s="1">
        <v>2260</v>
      </c>
    </row>
    <row r="874" spans="1:8" x14ac:dyDescent="0.35">
      <c r="A874" s="2" t="s">
        <v>311</v>
      </c>
      <c r="B874" s="2" t="s">
        <v>367</v>
      </c>
      <c r="C874" s="3">
        <v>3026.06</v>
      </c>
      <c r="D874" s="1">
        <v>3390</v>
      </c>
      <c r="E874" t="str">
        <f>VLOOKUP(A874,Sheet2!A:E,5,)</f>
        <v>THE GLEN GRANT ARBORALS</v>
      </c>
      <c r="F874" t="s">
        <v>4</v>
      </c>
      <c r="G874" s="3">
        <v>3026.06</v>
      </c>
      <c r="H874" s="1">
        <v>3390</v>
      </c>
    </row>
    <row r="875" spans="1:8" x14ac:dyDescent="0.35">
      <c r="A875" s="2" t="s">
        <v>824</v>
      </c>
      <c r="B875" s="2" t="s">
        <v>372</v>
      </c>
      <c r="C875" s="3">
        <v>524.86</v>
      </c>
      <c r="D875" s="1">
        <v>590</v>
      </c>
      <c r="E875" t="str">
        <f>VLOOKUP(A875,Sheet2!A:E,5,)</f>
        <v>THE GLENWALK BLEND SCOTCH WHSKY</v>
      </c>
      <c r="F875" t="s">
        <v>374</v>
      </c>
      <c r="G875" s="3">
        <v>524.86</v>
      </c>
      <c r="H875" s="1">
        <v>590</v>
      </c>
    </row>
    <row r="876" spans="1:8" x14ac:dyDescent="0.35">
      <c r="A876" s="2" t="s">
        <v>312</v>
      </c>
      <c r="B876" s="2" t="s">
        <v>370</v>
      </c>
      <c r="C876" s="3">
        <v>881.35</v>
      </c>
      <c r="D876" s="1">
        <v>990</v>
      </c>
      <c r="E876" t="str">
        <f>VLOOKUP(A876,Sheet2!A:E,5,)</f>
        <v>THE GLENWALK BLEND SCOTCH WHSKY</v>
      </c>
      <c r="F876" t="s">
        <v>5</v>
      </c>
      <c r="G876" s="3">
        <v>881.35</v>
      </c>
      <c r="H876" s="1">
        <v>990</v>
      </c>
    </row>
    <row r="877" spans="1:8" x14ac:dyDescent="0.35">
      <c r="A877" s="2" t="s">
        <v>313</v>
      </c>
      <c r="B877" s="2" t="s">
        <v>367</v>
      </c>
      <c r="C877" s="3">
        <v>1519.5</v>
      </c>
      <c r="D877" s="1">
        <v>1710</v>
      </c>
      <c r="E877" t="str">
        <f>VLOOKUP(A877,Sheet2!A:E,5,)</f>
        <v>THE GLENWALK BLEND SCOTCH WHSKY</v>
      </c>
      <c r="F877" t="s">
        <v>4</v>
      </c>
      <c r="G877" s="3">
        <v>1519.5</v>
      </c>
      <c r="H877" s="1">
        <v>1710</v>
      </c>
    </row>
    <row r="878" spans="1:8" x14ac:dyDescent="0.35">
      <c r="A878" s="2" t="s">
        <v>825</v>
      </c>
      <c r="B878" s="2" t="s">
        <v>367</v>
      </c>
      <c r="C878" s="3">
        <v>8706.6</v>
      </c>
      <c r="D878" s="1">
        <v>9760</v>
      </c>
      <c r="E878" t="str">
        <f>VLOOKUP(A878,Sheet2!A:E,5,)</f>
        <v>THE IRISHMAN SINGLE MALT</v>
      </c>
      <c r="F878" t="s">
        <v>4</v>
      </c>
      <c r="G878" s="3">
        <v>8706.6</v>
      </c>
      <c r="H878" s="1">
        <v>9760</v>
      </c>
    </row>
    <row r="879" spans="1:8" x14ac:dyDescent="0.35">
      <c r="A879" s="2" t="s">
        <v>826</v>
      </c>
      <c r="B879" s="2" t="s">
        <v>369</v>
      </c>
      <c r="C879" s="3">
        <v>6486.95</v>
      </c>
      <c r="D879" s="1">
        <v>7270</v>
      </c>
      <c r="E879" t="str">
        <f>VLOOKUP(A879,Sheet2!A:E,5,)</f>
        <v>THE MACALLAN 12Y DOUBLE CASK WHISKY</v>
      </c>
      <c r="F879" t="s">
        <v>4</v>
      </c>
      <c r="G879" s="3">
        <v>6486.95</v>
      </c>
      <c r="H879" s="1">
        <v>7270</v>
      </c>
    </row>
    <row r="880" spans="1:8" x14ac:dyDescent="0.35">
      <c r="A880" s="2" t="s">
        <v>827</v>
      </c>
      <c r="B880" s="2" t="s">
        <v>369</v>
      </c>
      <c r="C880" s="3">
        <v>7847.49</v>
      </c>
      <c r="D880" s="1">
        <v>8790</v>
      </c>
      <c r="E880" t="str">
        <f>VLOOKUP(A880,Sheet2!A:E,5,)</f>
        <v>THE MACALLAN 12Y TRIPLE CASK WHISKY</v>
      </c>
      <c r="F880" t="s">
        <v>4</v>
      </c>
      <c r="G880" s="3">
        <v>7847.49</v>
      </c>
      <c r="H880" s="1">
        <v>8790</v>
      </c>
    </row>
    <row r="881" spans="1:8" x14ac:dyDescent="0.35">
      <c r="A881" s="2" t="s">
        <v>828</v>
      </c>
      <c r="B881" s="2" t="s">
        <v>369</v>
      </c>
      <c r="C881" s="3">
        <v>18520.689999999999</v>
      </c>
      <c r="D881" s="1">
        <v>20750</v>
      </c>
      <c r="E881" t="str">
        <f>VLOOKUP(A881,Sheet2!A:E,5,)</f>
        <v>THE MACALLAN 15Y TRIPLE CASK SCO. WHI</v>
      </c>
      <c r="F881" t="s">
        <v>4</v>
      </c>
      <c r="G881" s="3">
        <v>18520.689999999999</v>
      </c>
      <c r="H881" s="1">
        <v>20750</v>
      </c>
    </row>
    <row r="882" spans="1:8" x14ac:dyDescent="0.35">
      <c r="A882" s="2" t="s">
        <v>829</v>
      </c>
      <c r="B882" s="2" t="s">
        <v>369</v>
      </c>
      <c r="C882" s="3">
        <v>42462.66</v>
      </c>
      <c r="D882" s="1">
        <v>47560</v>
      </c>
      <c r="E882" t="str">
        <f>VLOOKUP(A882,Sheet2!A:E,5,)</f>
        <v>THE MACALLAN 18Y TRIPLE CASK SCO. WHI</v>
      </c>
      <c r="F882" t="s">
        <v>4</v>
      </c>
      <c r="G882" s="3">
        <v>42462.66</v>
      </c>
      <c r="H882" s="1">
        <v>47560</v>
      </c>
    </row>
    <row r="883" spans="1:8" x14ac:dyDescent="0.35">
      <c r="A883" s="2" t="s">
        <v>314</v>
      </c>
      <c r="B883" s="2" t="s">
        <v>367</v>
      </c>
      <c r="C883" s="3">
        <v>4286.5200000000004</v>
      </c>
      <c r="D883" s="1">
        <v>4810</v>
      </c>
      <c r="E883" t="str">
        <f>VLOOKUP(A883,Sheet2!A:E,5,)</f>
        <v>THE SINGLETON 12Y</v>
      </c>
      <c r="F883" t="s">
        <v>4</v>
      </c>
      <c r="G883" s="3">
        <v>4286.5200000000004</v>
      </c>
      <c r="H883" s="1">
        <v>4810</v>
      </c>
    </row>
    <row r="884" spans="1:8" x14ac:dyDescent="0.35">
      <c r="A884" s="2" t="s">
        <v>315</v>
      </c>
      <c r="B884" s="2" t="s">
        <v>367</v>
      </c>
      <c r="C884" s="3">
        <v>5079.34</v>
      </c>
      <c r="D884" s="1">
        <v>5690</v>
      </c>
      <c r="E884" t="str">
        <f>VLOOKUP(A884,Sheet2!A:E,5,)</f>
        <v>THE SINGLETONE 15 Y</v>
      </c>
      <c r="F884" t="s">
        <v>4</v>
      </c>
      <c r="G884" s="3">
        <v>5079.34</v>
      </c>
      <c r="H884" s="1">
        <v>5690</v>
      </c>
    </row>
    <row r="885" spans="1:8" x14ac:dyDescent="0.35">
      <c r="A885" s="2" t="s">
        <v>830</v>
      </c>
      <c r="B885" s="2" t="s">
        <v>369</v>
      </c>
      <c r="C885" s="3">
        <v>9559.34</v>
      </c>
      <c r="D885" s="1">
        <v>10710</v>
      </c>
      <c r="E885" t="str">
        <f>VLOOKUP(A885,Sheet2!A:E,5,)</f>
        <v>THE SINGLETONE 18 Y</v>
      </c>
      <c r="F885" t="s">
        <v>4</v>
      </c>
      <c r="G885" s="3">
        <v>9559.34</v>
      </c>
      <c r="H885" s="1">
        <v>10710</v>
      </c>
    </row>
    <row r="886" spans="1:8" x14ac:dyDescent="0.35">
      <c r="A886" s="2" t="s">
        <v>831</v>
      </c>
      <c r="B886" s="2" t="s">
        <v>369</v>
      </c>
      <c r="C886" s="3">
        <v>1466.64</v>
      </c>
      <c r="D886" s="1">
        <v>1650</v>
      </c>
      <c r="E886" t="str">
        <f>VLOOKUP(A886,Sheet2!A:E,5,)</f>
        <v>THE SOURCE CAVERNET SAVIGNON WINE</v>
      </c>
      <c r="F886" t="s">
        <v>4</v>
      </c>
      <c r="G886" s="3">
        <v>1466.64</v>
      </c>
      <c r="H886" s="1">
        <v>1650</v>
      </c>
    </row>
    <row r="887" spans="1:8" x14ac:dyDescent="0.35">
      <c r="A887" s="2" t="s">
        <v>316</v>
      </c>
      <c r="B887" s="2" t="s">
        <v>369</v>
      </c>
      <c r="C887" s="3">
        <v>1109.93</v>
      </c>
      <c r="D887" s="1">
        <v>1250</v>
      </c>
      <c r="E887" t="str">
        <f>VLOOKUP(A887,Sheet2!A:E,5,)</f>
        <v>THE SOURCE GRENACHE ROSE WINE</v>
      </c>
      <c r="F887" t="s">
        <v>4</v>
      </c>
      <c r="G887" s="3">
        <v>1109.93</v>
      </c>
      <c r="H887" s="1">
        <v>1250</v>
      </c>
    </row>
    <row r="888" spans="1:8" x14ac:dyDescent="0.35">
      <c r="A888" s="2" t="s">
        <v>832</v>
      </c>
      <c r="B888" s="2" t="s">
        <v>369</v>
      </c>
      <c r="C888" s="3">
        <v>2343.66</v>
      </c>
      <c r="D888" s="1">
        <v>2630</v>
      </c>
      <c r="E888" t="str">
        <f>VLOOKUP(A888,Sheet2!A:E,5,)</f>
        <v>THE SPRIT OF KASHMYR INDIAN NATURAL VODKA</v>
      </c>
      <c r="F888" t="s">
        <v>4</v>
      </c>
      <c r="G888" s="3">
        <v>2343.66</v>
      </c>
      <c r="H888" s="1">
        <v>2630</v>
      </c>
    </row>
    <row r="889" spans="1:8" x14ac:dyDescent="0.35">
      <c r="A889" s="2" t="s">
        <v>833</v>
      </c>
      <c r="B889" s="2" t="s">
        <v>369</v>
      </c>
      <c r="C889" s="3">
        <v>2825.22</v>
      </c>
      <c r="D889" s="1">
        <v>3170</v>
      </c>
      <c r="E889" t="str">
        <f>VLOOKUP(A889,Sheet2!A:E,5,)</f>
        <v>THE SPRIT OF KASHMYR INDIAN SAFFRON VODKA</v>
      </c>
      <c r="F889" t="s">
        <v>4</v>
      </c>
      <c r="G889" s="3">
        <v>2825.22</v>
      </c>
      <c r="H889" s="1">
        <v>3170</v>
      </c>
    </row>
    <row r="890" spans="1:8" x14ac:dyDescent="0.35">
      <c r="A890" s="2" t="s">
        <v>317</v>
      </c>
      <c r="B890" s="2" t="s">
        <v>369</v>
      </c>
      <c r="C890" s="3">
        <v>1918.33</v>
      </c>
      <c r="D890" s="1">
        <v>2150</v>
      </c>
      <c r="E890" t="str">
        <f>VLOOKUP(A890,Sheet2!A:E,5,)</f>
        <v>TI AMO PROSECCO BRUT</v>
      </c>
      <c r="F890" t="s">
        <v>4</v>
      </c>
      <c r="G890" s="3">
        <v>1918.33</v>
      </c>
      <c r="H890" s="1">
        <v>2150</v>
      </c>
    </row>
    <row r="891" spans="1:8" x14ac:dyDescent="0.35">
      <c r="A891" s="2" t="s">
        <v>834</v>
      </c>
      <c r="B891" s="2" t="s">
        <v>369</v>
      </c>
      <c r="C891" s="3">
        <v>1748</v>
      </c>
      <c r="D891" s="1">
        <v>1960</v>
      </c>
      <c r="E891" t="str">
        <f>VLOOKUP(A891,Sheet2!A:E,5,)</f>
        <v>TI AMO SARTORI</v>
      </c>
      <c r="F891" t="s">
        <v>4</v>
      </c>
      <c r="G891" s="3">
        <v>1748</v>
      </c>
      <c r="H891" s="1">
        <v>1960</v>
      </c>
    </row>
    <row r="892" spans="1:8" x14ac:dyDescent="0.35">
      <c r="A892" s="2" t="s">
        <v>318</v>
      </c>
      <c r="B892" s="2" t="s">
        <v>370</v>
      </c>
      <c r="C892" s="3">
        <v>158.66</v>
      </c>
      <c r="D892" s="1">
        <v>180</v>
      </c>
      <c r="E892" t="str">
        <f>VLOOKUP(A892,Sheet2!A:E,5,)</f>
        <v>TILT BUBBLY ROSE</v>
      </c>
      <c r="F892" t="s">
        <v>5</v>
      </c>
      <c r="G892" s="3">
        <v>158.66</v>
      </c>
      <c r="H892" s="1">
        <v>180</v>
      </c>
    </row>
    <row r="893" spans="1:8" x14ac:dyDescent="0.35">
      <c r="A893" s="2" t="s">
        <v>319</v>
      </c>
      <c r="B893" s="2" t="s">
        <v>370</v>
      </c>
      <c r="C893" s="3">
        <v>158.94</v>
      </c>
      <c r="D893" s="1">
        <v>180</v>
      </c>
      <c r="E893" t="str">
        <f>VLOOKUP(A893,Sheet2!A:E,5,)</f>
        <v>TILT RED/WHITE</v>
      </c>
      <c r="F893" t="s">
        <v>5</v>
      </c>
      <c r="G893" s="3">
        <v>158.94</v>
      </c>
      <c r="H893" s="1">
        <v>180</v>
      </c>
    </row>
    <row r="894" spans="1:8" x14ac:dyDescent="0.35">
      <c r="A894" s="2" t="s">
        <v>320</v>
      </c>
      <c r="B894" s="2" t="s">
        <v>369</v>
      </c>
      <c r="C894" s="3">
        <v>2847.02</v>
      </c>
      <c r="D894" s="1">
        <v>3190</v>
      </c>
      <c r="E894" t="str">
        <f>VLOOKUP(A894,Sheet2!A:E,5,)</f>
        <v>TITOS HANDMADE VODKA</v>
      </c>
      <c r="F894" t="s">
        <v>4</v>
      </c>
      <c r="G894" s="3">
        <v>2847.02</v>
      </c>
      <c r="H894" s="1">
        <v>3190</v>
      </c>
    </row>
    <row r="895" spans="1:8" x14ac:dyDescent="0.35">
      <c r="A895" s="2" t="s">
        <v>321</v>
      </c>
      <c r="B895" s="2" t="s">
        <v>369</v>
      </c>
      <c r="C895" s="3">
        <v>1687.69</v>
      </c>
      <c r="D895" s="1">
        <v>1900</v>
      </c>
      <c r="E895" t="str">
        <f>VLOOKUP(A895,Sheet2!A:E,5,)</f>
        <v>UJVA CHARDONNAY WINE</v>
      </c>
      <c r="F895" t="s">
        <v>4</v>
      </c>
      <c r="G895" s="3">
        <v>1687.69</v>
      </c>
      <c r="H895" s="1">
        <v>1900</v>
      </c>
    </row>
    <row r="896" spans="1:8" x14ac:dyDescent="0.35">
      <c r="A896" s="2" t="s">
        <v>322</v>
      </c>
      <c r="B896" s="2" t="s">
        <v>369</v>
      </c>
      <c r="C896" s="3">
        <v>3572.78</v>
      </c>
      <c r="D896" s="1">
        <v>4010</v>
      </c>
      <c r="E896" t="str">
        <f>VLOOKUP(A896,Sheet2!A:E,5,)</f>
        <v>UJVA PINOTAGE RESERVE WINE</v>
      </c>
      <c r="F896" t="s">
        <v>4</v>
      </c>
      <c r="G896" s="3">
        <v>3572.78</v>
      </c>
      <c r="H896" s="1">
        <v>4010</v>
      </c>
    </row>
    <row r="897" spans="1:8" x14ac:dyDescent="0.35">
      <c r="A897" s="2" t="s">
        <v>835</v>
      </c>
      <c r="B897" s="2" t="s">
        <v>369</v>
      </c>
      <c r="C897" s="3">
        <v>2016.63</v>
      </c>
      <c r="D897" s="1">
        <v>2260</v>
      </c>
      <c r="E897" t="str">
        <f>VLOOKUP(A897,Sheet2!A:E,5,)</f>
        <v>UJVA SHIRAZ</v>
      </c>
      <c r="F897" t="s">
        <v>4</v>
      </c>
      <c r="G897" s="3">
        <v>2016.63</v>
      </c>
      <c r="H897" s="1">
        <v>2260</v>
      </c>
    </row>
    <row r="898" spans="1:8" x14ac:dyDescent="0.35">
      <c r="A898" s="2" t="s">
        <v>836</v>
      </c>
      <c r="B898" s="2" t="s">
        <v>369</v>
      </c>
      <c r="C898" s="3">
        <v>1891.69</v>
      </c>
      <c r="D898" s="1">
        <v>2120</v>
      </c>
      <c r="E898" t="str">
        <f>VLOOKUP(A898,Sheet2!A:E,5,)</f>
        <v>UJVA UKUKLEKA CAPE WINE</v>
      </c>
      <c r="F898" t="s">
        <v>4</v>
      </c>
      <c r="G898" s="3">
        <v>1891.69</v>
      </c>
      <c r="H898" s="1">
        <v>2120</v>
      </c>
    </row>
    <row r="899" spans="1:8" x14ac:dyDescent="0.35">
      <c r="A899" s="2" t="s">
        <v>323</v>
      </c>
      <c r="B899" s="2" t="s">
        <v>368</v>
      </c>
      <c r="C899" s="3">
        <v>330.57</v>
      </c>
      <c r="D899" s="1">
        <v>380</v>
      </c>
      <c r="E899" t="str">
        <f>VLOOKUP(A899,Sheet2!A:E,5,)</f>
        <v>VAT 69 BLENDED SCOTCH WHISKY</v>
      </c>
      <c r="F899" t="s">
        <v>374</v>
      </c>
      <c r="G899" s="3">
        <v>330.57</v>
      </c>
      <c r="H899" s="1">
        <v>380</v>
      </c>
    </row>
    <row r="900" spans="1:8" x14ac:dyDescent="0.35">
      <c r="A900" s="2" t="s">
        <v>837</v>
      </c>
      <c r="B900" s="2" t="s">
        <v>370</v>
      </c>
      <c r="C900" s="3">
        <v>669.4</v>
      </c>
      <c r="D900" s="1">
        <v>750</v>
      </c>
      <c r="E900" t="str">
        <f>VLOOKUP(A900,Sheet2!A:E,5,)</f>
        <v>VAT 69 BLENDED SCOTCH WHISKY</v>
      </c>
      <c r="F900" t="s">
        <v>5</v>
      </c>
      <c r="G900" s="3">
        <v>669.4</v>
      </c>
      <c r="H900" s="1">
        <v>750</v>
      </c>
    </row>
    <row r="901" spans="1:8" x14ac:dyDescent="0.35">
      <c r="A901" s="2" t="s">
        <v>837</v>
      </c>
      <c r="B901" s="2" t="s">
        <v>369</v>
      </c>
      <c r="C901" s="3">
        <v>1328.38</v>
      </c>
      <c r="D901" s="1">
        <v>1490</v>
      </c>
      <c r="E901" t="str">
        <f>VLOOKUP(A901,Sheet2!A:E,5,)</f>
        <v>VAT 69 BLENDED SCOTCH WHISKY</v>
      </c>
      <c r="F901" t="s">
        <v>4</v>
      </c>
      <c r="G901" s="3">
        <v>1328.38</v>
      </c>
      <c r="H901" s="1">
        <v>1490</v>
      </c>
    </row>
    <row r="902" spans="1:8" x14ac:dyDescent="0.35">
      <c r="A902" s="2" t="s">
        <v>838</v>
      </c>
      <c r="B902" s="2" t="s">
        <v>369</v>
      </c>
      <c r="C902" s="3">
        <v>2469.21</v>
      </c>
      <c r="D902" s="1">
        <v>2770</v>
      </c>
      <c r="E902" t="str">
        <f>VLOOKUP(A902,Sheet2!A:E,5,)</f>
        <v>VECCHIA RAMGNA CLASSICA BRANDY</v>
      </c>
      <c r="F902" t="s">
        <v>4</v>
      </c>
      <c r="G902" s="3">
        <v>2469.21</v>
      </c>
      <c r="H902" s="1">
        <v>2770</v>
      </c>
    </row>
    <row r="903" spans="1:8" x14ac:dyDescent="0.35">
      <c r="A903" s="2" t="s">
        <v>839</v>
      </c>
      <c r="B903" s="2" t="s">
        <v>369</v>
      </c>
      <c r="C903" s="3">
        <v>1385.61</v>
      </c>
      <c r="D903" s="1">
        <v>1560</v>
      </c>
      <c r="E903" t="str">
        <f>VLOOKUP(A903,Sheet2!A:E,5,)</f>
        <v>VENTISQUERO CLASICO CABERNET SAUVIGNON</v>
      </c>
      <c r="F903" t="s">
        <v>4</v>
      </c>
      <c r="G903" s="3">
        <v>1385.61</v>
      </c>
      <c r="H903" s="1">
        <v>1560</v>
      </c>
    </row>
    <row r="904" spans="1:8" x14ac:dyDescent="0.35">
      <c r="A904" s="2" t="s">
        <v>840</v>
      </c>
      <c r="B904" s="2" t="s">
        <v>369</v>
      </c>
      <c r="C904" s="3">
        <v>1287.49</v>
      </c>
      <c r="D904" s="1">
        <v>1450</v>
      </c>
      <c r="E904" t="str">
        <f>VLOOKUP(A904,Sheet2!A:E,5,)</f>
        <v>VERANZA BLANCO/TINTO</v>
      </c>
      <c r="F904" t="s">
        <v>4</v>
      </c>
      <c r="G904" s="3">
        <v>1287.49</v>
      </c>
      <c r="H904" s="1">
        <v>1450</v>
      </c>
    </row>
    <row r="905" spans="1:8" x14ac:dyDescent="0.35">
      <c r="A905" s="2" t="s">
        <v>841</v>
      </c>
      <c r="B905" s="2" t="s">
        <v>368</v>
      </c>
      <c r="C905" s="3">
        <v>129.88</v>
      </c>
      <c r="D905" s="1">
        <v>150</v>
      </c>
      <c r="E905" t="str">
        <f>VLOOKUP(A905,Sheet2!A:E,5,)</f>
        <v>VERY OLD VATED OLD MONK RUM</v>
      </c>
      <c r="F905" t="s">
        <v>374</v>
      </c>
      <c r="G905" s="3">
        <v>129.88</v>
      </c>
      <c r="H905" s="1">
        <v>150</v>
      </c>
    </row>
    <row r="906" spans="1:8" x14ac:dyDescent="0.35">
      <c r="A906" s="2" t="s">
        <v>842</v>
      </c>
      <c r="B906" s="2" t="s">
        <v>370</v>
      </c>
      <c r="C906" s="3">
        <v>268.07</v>
      </c>
      <c r="D906" s="1">
        <v>310</v>
      </c>
      <c r="E906" t="str">
        <f>VLOOKUP(A906,Sheet2!A:E,5,)</f>
        <v>VERY OLD VATED OLD MONK RUM</v>
      </c>
      <c r="F906" t="s">
        <v>5</v>
      </c>
      <c r="G906" s="3">
        <v>268.07</v>
      </c>
      <c r="H906" s="1">
        <v>310</v>
      </c>
    </row>
    <row r="907" spans="1:8" x14ac:dyDescent="0.35">
      <c r="A907" s="2" t="s">
        <v>843</v>
      </c>
      <c r="B907" s="2" t="s">
        <v>369</v>
      </c>
      <c r="C907" s="3">
        <v>526.20000000000005</v>
      </c>
      <c r="D907" s="1">
        <v>590</v>
      </c>
      <c r="E907" t="str">
        <f>VLOOKUP(A907,Sheet2!A:E,5,)</f>
        <v>VERY OLD VATED OLD MONK RUM</v>
      </c>
      <c r="F907" t="s">
        <v>4</v>
      </c>
      <c r="G907" s="3">
        <v>526.20000000000005</v>
      </c>
      <c r="H907" s="1">
        <v>590</v>
      </c>
    </row>
    <row r="908" spans="1:8" x14ac:dyDescent="0.35">
      <c r="A908" s="2" t="s">
        <v>844</v>
      </c>
      <c r="B908" s="2" t="s">
        <v>369</v>
      </c>
      <c r="C908" s="3">
        <v>3080.69</v>
      </c>
      <c r="D908" s="1">
        <v>3460</v>
      </c>
      <c r="E908" t="str">
        <f>VLOOKUP(A908,Sheet2!A:E,5,)</f>
        <v>VINA POMAL RESERVA</v>
      </c>
      <c r="F908" t="s">
        <v>4</v>
      </c>
      <c r="G908" s="3">
        <v>3080.69</v>
      </c>
      <c r="H908" s="1">
        <v>3460</v>
      </c>
    </row>
    <row r="909" spans="1:8" x14ac:dyDescent="0.35">
      <c r="A909" s="4" t="s">
        <v>951</v>
      </c>
      <c r="B909" s="4" t="s">
        <v>369</v>
      </c>
      <c r="C909" s="3">
        <v>2279.91</v>
      </c>
      <c r="D909" s="1">
        <v>2560</v>
      </c>
      <c r="E909" t="str">
        <f>VLOOKUP(A909,Sheet2!A:E,5,)</f>
        <v>VINA POMAL RIOJA</v>
      </c>
      <c r="F909" t="s">
        <v>4</v>
      </c>
      <c r="G909" s="3">
        <v>2279.91</v>
      </c>
      <c r="H909" s="1">
        <v>2560</v>
      </c>
    </row>
    <row r="910" spans="1:8" x14ac:dyDescent="0.35">
      <c r="A910" s="2" t="s">
        <v>845</v>
      </c>
      <c r="B910" s="2" t="s">
        <v>369</v>
      </c>
      <c r="C910" s="3">
        <v>2253.56</v>
      </c>
      <c r="D910" s="1">
        <v>2530</v>
      </c>
      <c r="E910" t="str">
        <f>VLOOKUP(A910,Sheet2!A:E,5,)</f>
        <v>VINA PORMAL CRIANZA</v>
      </c>
      <c r="F910" t="s">
        <v>4</v>
      </c>
      <c r="G910" s="3">
        <v>2253.56</v>
      </c>
      <c r="H910" s="1">
        <v>2530</v>
      </c>
    </row>
    <row r="911" spans="1:8" x14ac:dyDescent="0.35">
      <c r="A911" s="2" t="s">
        <v>846</v>
      </c>
      <c r="B911" s="2" t="s">
        <v>369</v>
      </c>
      <c r="C911" s="3">
        <v>1863.56</v>
      </c>
      <c r="D911" s="1">
        <v>2090</v>
      </c>
      <c r="E911" t="str">
        <f>VLOOKUP(A911,Sheet2!A:E,5,)</f>
        <v>VINA TARAPACA CABERNET SAUVIGNON</v>
      </c>
      <c r="F911" t="s">
        <v>4</v>
      </c>
      <c r="G911" s="3">
        <v>1863.56</v>
      </c>
      <c r="H911" s="1">
        <v>2090</v>
      </c>
    </row>
    <row r="912" spans="1:8" x14ac:dyDescent="0.35">
      <c r="A912" s="2" t="s">
        <v>847</v>
      </c>
      <c r="B912" s="2" t="s">
        <v>368</v>
      </c>
      <c r="C912" s="3">
        <v>102.74</v>
      </c>
      <c r="D912" s="1">
        <v>120</v>
      </c>
      <c r="E912" t="str">
        <f>VLOOKUP(A912,Sheet2!A:E,5,)</f>
        <v>VIN GREEN LABEL BLEND WHISKY</v>
      </c>
      <c r="F912" t="s">
        <v>374</v>
      </c>
      <c r="G912" s="3">
        <v>102.74</v>
      </c>
      <c r="H912" s="1">
        <v>120</v>
      </c>
    </row>
    <row r="913" spans="1:8" x14ac:dyDescent="0.35">
      <c r="A913" s="2" t="s">
        <v>847</v>
      </c>
      <c r="B913" s="2" t="s">
        <v>370</v>
      </c>
      <c r="C913" s="3">
        <v>204.04</v>
      </c>
      <c r="D913" s="1">
        <v>230</v>
      </c>
      <c r="E913" t="str">
        <f>VLOOKUP(A913,Sheet2!A:E,5,)</f>
        <v>VIN GREEN LABEL BLEND WHISKY</v>
      </c>
      <c r="F913" t="s">
        <v>5</v>
      </c>
      <c r="G913" s="3">
        <v>204.04</v>
      </c>
      <c r="H913" s="1">
        <v>230</v>
      </c>
    </row>
    <row r="914" spans="1:8" x14ac:dyDescent="0.35">
      <c r="A914" s="2" t="s">
        <v>847</v>
      </c>
      <c r="B914" s="2" t="s">
        <v>369</v>
      </c>
      <c r="C914" s="3">
        <v>388.07</v>
      </c>
      <c r="D914" s="1">
        <v>440</v>
      </c>
      <c r="E914" t="str">
        <f>VLOOKUP(A914,Sheet2!A:E,5,)</f>
        <v>VIN GREEN LABEL BLEND WHISKY</v>
      </c>
      <c r="F914" t="s">
        <v>4</v>
      </c>
      <c r="G914" s="3">
        <v>388.07</v>
      </c>
      <c r="H914" s="1">
        <v>440</v>
      </c>
    </row>
    <row r="915" spans="1:8" x14ac:dyDescent="0.35">
      <c r="A915" s="2" t="s">
        <v>848</v>
      </c>
      <c r="B915" s="2" t="s">
        <v>369</v>
      </c>
      <c r="C915" s="3">
        <v>1915.5</v>
      </c>
      <c r="D915" s="1">
        <v>2150</v>
      </c>
      <c r="E915" t="str">
        <f>VLOOKUP(A915,Sheet2!A:E,5,)</f>
        <v>VINO SPUMANTE ROSE TI AMO SARTORI</v>
      </c>
      <c r="F915" t="s">
        <v>4</v>
      </c>
      <c r="G915" s="3">
        <v>1915.5</v>
      </c>
      <c r="H915" s="1">
        <v>2150</v>
      </c>
    </row>
    <row r="916" spans="1:8" x14ac:dyDescent="0.35">
      <c r="A916" s="2" t="s">
        <v>324</v>
      </c>
      <c r="B916" s="2" t="s">
        <v>369</v>
      </c>
      <c r="C916" s="3">
        <v>2798.8</v>
      </c>
      <c r="D916" s="1">
        <v>3140</v>
      </c>
      <c r="E916" t="str">
        <f>VLOOKUP(A916,Sheet2!A:E,5,)</f>
        <v>VODKA RUSSIAN STANDARD</v>
      </c>
      <c r="F916" t="s">
        <v>4</v>
      </c>
      <c r="G916" s="3">
        <v>2798.8</v>
      </c>
      <c r="H916" s="1">
        <v>3140</v>
      </c>
    </row>
    <row r="917" spans="1:8" x14ac:dyDescent="0.35">
      <c r="A917" s="2" t="s">
        <v>849</v>
      </c>
      <c r="B917" s="2" t="s">
        <v>368</v>
      </c>
      <c r="C917" s="3">
        <v>161.69999999999999</v>
      </c>
      <c r="D917" s="1">
        <v>190</v>
      </c>
      <c r="E917" t="str">
        <f>VLOOKUP(A917,Sheet2!A:E,5,)</f>
        <v>W CRAFT WHISKY</v>
      </c>
      <c r="F917" t="s">
        <v>374</v>
      </c>
      <c r="G917" s="3">
        <v>161.69999999999999</v>
      </c>
      <c r="H917" s="1">
        <v>190</v>
      </c>
    </row>
    <row r="918" spans="1:8" x14ac:dyDescent="0.35">
      <c r="A918" s="2" t="s">
        <v>850</v>
      </c>
      <c r="B918" s="2" t="s">
        <v>370</v>
      </c>
      <c r="C918" s="3">
        <v>319.22000000000003</v>
      </c>
      <c r="D918" s="1">
        <v>360</v>
      </c>
      <c r="E918" t="str">
        <f>VLOOKUP(A918,Sheet2!A:E,5,)</f>
        <v>W CRAFT WHISKY</v>
      </c>
      <c r="F918" t="s">
        <v>5</v>
      </c>
      <c r="G918" s="3">
        <v>319.22000000000003</v>
      </c>
      <c r="H918" s="1">
        <v>360</v>
      </c>
    </row>
    <row r="919" spans="1:8" x14ac:dyDescent="0.35">
      <c r="A919" s="2" t="s">
        <v>851</v>
      </c>
      <c r="B919" s="2" t="s">
        <v>369</v>
      </c>
      <c r="C919" s="3">
        <v>626.02</v>
      </c>
      <c r="D919" s="1">
        <v>710</v>
      </c>
      <c r="E919" t="str">
        <f>VLOOKUP(A919,Sheet2!A:E,5,)</f>
        <v>W CRAFT WHISKY</v>
      </c>
      <c r="F919" t="s">
        <v>4</v>
      </c>
      <c r="G919" s="3">
        <v>626.02</v>
      </c>
      <c r="H919" s="1">
        <v>710</v>
      </c>
    </row>
    <row r="920" spans="1:8" x14ac:dyDescent="0.35">
      <c r="A920" s="2" t="s">
        <v>852</v>
      </c>
      <c r="B920" s="2" t="s">
        <v>369</v>
      </c>
      <c r="C920" s="3">
        <v>2953.6</v>
      </c>
      <c r="D920" s="1">
        <v>3310</v>
      </c>
      <c r="E920" t="str">
        <f>VLOOKUP(A920,Sheet2!A:E,5,)</f>
        <v>WENT VINAYARD MORNING FOG CHANRDONNY</v>
      </c>
      <c r="F920" t="s">
        <v>4</v>
      </c>
      <c r="G920" s="3">
        <v>2953.6</v>
      </c>
      <c r="H920" s="1">
        <v>3310</v>
      </c>
    </row>
    <row r="921" spans="1:8" x14ac:dyDescent="0.35">
      <c r="A921" s="2" t="s">
        <v>325</v>
      </c>
      <c r="B921" s="2" t="s">
        <v>368</v>
      </c>
      <c r="C921" s="3">
        <v>215.66</v>
      </c>
      <c r="D921" s="1">
        <v>250</v>
      </c>
      <c r="E921" t="str">
        <f>VLOOKUP(A921,Sheet2!A:E,5,)</f>
        <v>WHISTLER BARREL BLENDED MALT WHISKY</v>
      </c>
      <c r="F921" t="s">
        <v>374</v>
      </c>
      <c r="G921" s="3">
        <v>215.66</v>
      </c>
      <c r="H921" s="1">
        <v>250</v>
      </c>
    </row>
    <row r="922" spans="1:8" x14ac:dyDescent="0.35">
      <c r="A922" s="2" t="s">
        <v>326</v>
      </c>
      <c r="B922" s="2" t="s">
        <v>370</v>
      </c>
      <c r="C922" s="3">
        <v>429.19</v>
      </c>
      <c r="D922" s="1">
        <v>490</v>
      </c>
      <c r="E922" t="str">
        <f>VLOOKUP(A922,Sheet2!A:E,5,)</f>
        <v>WHISTLER BARREL BLENDED MALT WHISKY</v>
      </c>
      <c r="F922" t="s">
        <v>5</v>
      </c>
      <c r="G922" s="3">
        <v>429.19</v>
      </c>
      <c r="H922" s="1">
        <v>490</v>
      </c>
    </row>
    <row r="923" spans="1:8" x14ac:dyDescent="0.35">
      <c r="A923" s="2" t="s">
        <v>327</v>
      </c>
      <c r="B923" s="2" t="s">
        <v>369</v>
      </c>
      <c r="C923" s="3">
        <v>828.37</v>
      </c>
      <c r="D923" s="1">
        <v>930</v>
      </c>
      <c r="E923" t="str">
        <f>VLOOKUP(A923,Sheet2!A:E,5,)</f>
        <v>WHISTLER BARREL BLENDED MALT WHISKY</v>
      </c>
      <c r="F923" t="s">
        <v>4</v>
      </c>
      <c r="G923" s="3">
        <v>828.37</v>
      </c>
      <c r="H923" s="1">
        <v>930</v>
      </c>
    </row>
    <row r="924" spans="1:8" x14ac:dyDescent="0.35">
      <c r="A924" s="2" t="s">
        <v>328</v>
      </c>
      <c r="B924" s="2" t="s">
        <v>371</v>
      </c>
      <c r="C924" s="3">
        <v>107.85</v>
      </c>
      <c r="D924" s="1">
        <v>130</v>
      </c>
      <c r="E924" t="str">
        <f>VLOOKUP(A924,Sheet2!A:E,5,)</f>
        <v>WHISTLER BARREL BLENDED MALT WHISKY</v>
      </c>
      <c r="F924" t="s">
        <v>376</v>
      </c>
      <c r="G924" s="3">
        <v>107.85</v>
      </c>
      <c r="H924" s="1">
        <v>130</v>
      </c>
    </row>
    <row r="925" spans="1:8" x14ac:dyDescent="0.35">
      <c r="A925" s="2" t="s">
        <v>853</v>
      </c>
      <c r="B925" s="2" t="s">
        <v>368</v>
      </c>
      <c r="C925" s="3">
        <v>157.08000000000001</v>
      </c>
      <c r="D925" s="1">
        <v>180</v>
      </c>
      <c r="E925" t="str">
        <f>VLOOKUP(A925,Sheet2!A:E,5,)</f>
        <v>WHITE &amp; BLUE WHISKY</v>
      </c>
      <c r="F925" t="s">
        <v>374</v>
      </c>
      <c r="G925" s="3">
        <v>157.08000000000001</v>
      </c>
      <c r="H925" s="1">
        <v>180</v>
      </c>
    </row>
    <row r="926" spans="1:8" x14ac:dyDescent="0.35">
      <c r="A926" s="2" t="s">
        <v>329</v>
      </c>
      <c r="B926" s="2" t="s">
        <v>370</v>
      </c>
      <c r="C926" s="3">
        <v>304.89999999999998</v>
      </c>
      <c r="D926" s="1">
        <v>350</v>
      </c>
      <c r="E926" t="str">
        <f>VLOOKUP(A926,Sheet2!A:E,5,)</f>
        <v>WHITE &amp; BLUE WHISKY</v>
      </c>
      <c r="F926" t="s">
        <v>5</v>
      </c>
      <c r="G926" s="3">
        <v>304.89999999999998</v>
      </c>
      <c r="H926" s="1">
        <v>350</v>
      </c>
    </row>
    <row r="927" spans="1:8" x14ac:dyDescent="0.35">
      <c r="A927" s="2" t="s">
        <v>330</v>
      </c>
      <c r="B927" s="2" t="s">
        <v>369</v>
      </c>
      <c r="C927" s="3">
        <v>599.41999999999996</v>
      </c>
      <c r="D927" s="1">
        <v>680</v>
      </c>
      <c r="E927" t="str">
        <f>VLOOKUP(A927,Sheet2!A:E,5,)</f>
        <v>WHITE &amp; BLUE WHISKY</v>
      </c>
      <c r="F927" t="s">
        <v>4</v>
      </c>
      <c r="G927" s="3">
        <v>599.41999999999996</v>
      </c>
      <c r="H927" s="1">
        <v>680</v>
      </c>
    </row>
    <row r="928" spans="1:8" x14ac:dyDescent="0.35">
      <c r="A928" s="2" t="s">
        <v>854</v>
      </c>
      <c r="B928" s="2" t="s">
        <v>369</v>
      </c>
      <c r="C928" s="3">
        <v>2571.29</v>
      </c>
      <c r="D928" s="1">
        <v>2880</v>
      </c>
      <c r="E928" t="str">
        <f>VLOOKUP(A928,Sheet2!A:E,5,)</f>
        <v>WILD TURKEY WINE</v>
      </c>
      <c r="F928" t="s">
        <v>4</v>
      </c>
      <c r="G928" s="3">
        <v>2571.29</v>
      </c>
      <c r="H928" s="1">
        <v>2880</v>
      </c>
    </row>
    <row r="929" spans="1:8" x14ac:dyDescent="0.35">
      <c r="A929" s="2" t="s">
        <v>855</v>
      </c>
      <c r="B929" s="2" t="s">
        <v>368</v>
      </c>
      <c r="C929" s="3">
        <v>253.77</v>
      </c>
      <c r="D929" s="1">
        <v>290</v>
      </c>
      <c r="E929" t="str">
        <f>VLOOKUP(A929,Sheet2!A:E,5,)</f>
        <v>WINGMAN BLENDED MALT WHISKY</v>
      </c>
      <c r="F929" t="s">
        <v>374</v>
      </c>
      <c r="G929" s="3">
        <v>253.77</v>
      </c>
      <c r="H929" s="1">
        <v>290</v>
      </c>
    </row>
    <row r="930" spans="1:8" x14ac:dyDescent="0.35">
      <c r="A930" s="2" t="s">
        <v>855</v>
      </c>
      <c r="B930" s="2" t="s">
        <v>369</v>
      </c>
      <c r="C930" s="3">
        <v>980.67</v>
      </c>
      <c r="D930" s="1">
        <v>1100</v>
      </c>
      <c r="E930" t="str">
        <f>VLOOKUP(A930,Sheet2!A:E,5,)</f>
        <v>WINGMAN BLENDED MALT WHISKY</v>
      </c>
      <c r="F930" t="s">
        <v>4</v>
      </c>
      <c r="G930" s="3">
        <v>980.67</v>
      </c>
      <c r="H930" s="1">
        <v>1100</v>
      </c>
    </row>
    <row r="931" spans="1:8" x14ac:dyDescent="0.35">
      <c r="A931" s="2" t="s">
        <v>856</v>
      </c>
      <c r="B931" s="2" t="s">
        <v>369</v>
      </c>
      <c r="C931" s="3">
        <v>1862.09</v>
      </c>
      <c r="D931" s="1">
        <v>2090</v>
      </c>
      <c r="E931" t="str">
        <f>VLOOKUP(A931,Sheet2!A:E,5,)</f>
        <v>WOODBURN CONTEMPORARY WHISKY</v>
      </c>
      <c r="F931" t="s">
        <v>4</v>
      </c>
      <c r="G931" s="3">
        <v>1862.09</v>
      </c>
      <c r="H931" s="1">
        <v>2090</v>
      </c>
    </row>
    <row r="932" spans="1:8" x14ac:dyDescent="0.35">
      <c r="A932" s="2" t="s">
        <v>857</v>
      </c>
      <c r="B932" s="2" t="s">
        <v>369</v>
      </c>
      <c r="C932" s="3">
        <v>5165.8599999999997</v>
      </c>
      <c r="D932" s="1">
        <v>5790</v>
      </c>
      <c r="E932" t="str">
        <f>VLOOKUP(A932,Sheet2!A:E,5,)</f>
        <v>WOODFORD RESERVE</v>
      </c>
      <c r="F932" t="s">
        <v>4</v>
      </c>
      <c r="G932" s="3">
        <v>5165.8599999999997</v>
      </c>
      <c r="H932" s="1">
        <v>5790</v>
      </c>
    </row>
    <row r="933" spans="1:8" x14ac:dyDescent="0.35">
      <c r="A933" s="2" t="s">
        <v>858</v>
      </c>
      <c r="B933" s="2" t="s">
        <v>372</v>
      </c>
      <c r="C933" s="3">
        <v>235.39</v>
      </c>
      <c r="D933" s="1">
        <v>270</v>
      </c>
      <c r="E933" t="str">
        <f>VLOOKUP(A933,Sheet2!A:E,5,)</f>
        <v>WOOD NOTE RESERVE WHISKY</v>
      </c>
      <c r="F933" t="s">
        <v>374</v>
      </c>
      <c r="G933" s="3">
        <v>235.39</v>
      </c>
      <c r="H933" s="1">
        <v>270</v>
      </c>
    </row>
    <row r="934" spans="1:8" x14ac:dyDescent="0.35">
      <c r="A934" s="2" t="s">
        <v>858</v>
      </c>
      <c r="B934" s="2" t="s">
        <v>370</v>
      </c>
      <c r="C934" s="3">
        <v>476.5</v>
      </c>
      <c r="D934" s="1">
        <v>540</v>
      </c>
      <c r="E934" t="str">
        <f>VLOOKUP(A934,Sheet2!A:E,5,)</f>
        <v>WOOD NOTE RESERVE WHISKY</v>
      </c>
      <c r="F934" t="s">
        <v>5</v>
      </c>
      <c r="G934" s="3">
        <v>476.5</v>
      </c>
      <c r="H934" s="1">
        <v>540</v>
      </c>
    </row>
    <row r="935" spans="1:8" x14ac:dyDescent="0.35">
      <c r="A935" s="2" t="s">
        <v>858</v>
      </c>
      <c r="B935" s="2" t="s">
        <v>369</v>
      </c>
      <c r="C935" s="3">
        <v>942.99</v>
      </c>
      <c r="D935" s="1">
        <v>1060</v>
      </c>
      <c r="E935" t="str">
        <f>VLOOKUP(A935,Sheet2!A:E,5,)</f>
        <v>WOOD NOTE RESERVE WHISKY</v>
      </c>
      <c r="F935" t="s">
        <v>4</v>
      </c>
      <c r="G935" s="3">
        <v>942.99</v>
      </c>
      <c r="H935" s="1">
        <v>1060</v>
      </c>
    </row>
    <row r="936" spans="1:8" x14ac:dyDescent="0.35">
      <c r="A936" s="2" t="s">
        <v>859</v>
      </c>
      <c r="B936" s="2" t="s">
        <v>371</v>
      </c>
      <c r="C936" s="3">
        <v>120.55</v>
      </c>
      <c r="D936" s="1">
        <v>140</v>
      </c>
      <c r="E936" t="str">
        <f>VLOOKUP(A936,Sheet2!A:E,5,)</f>
        <v>WOOD NOTE RESERVE WHISKY</v>
      </c>
      <c r="F936" t="s">
        <v>376</v>
      </c>
      <c r="G936" s="3">
        <v>120.55</v>
      </c>
      <c r="H936" s="1">
        <v>140</v>
      </c>
    </row>
    <row r="937" spans="1:8" x14ac:dyDescent="0.35">
      <c r="A937" s="2" t="s">
        <v>331</v>
      </c>
      <c r="B937" s="2" t="s">
        <v>367</v>
      </c>
      <c r="C937" s="3">
        <v>8133.54</v>
      </c>
      <c r="D937" s="1">
        <v>9110</v>
      </c>
      <c r="E937" t="str">
        <f>VLOOKUP(A937,Sheet2!A:E,5,)</f>
        <v>WRITERS TEARS COPPER POT</v>
      </c>
      <c r="F937" t="s">
        <v>4</v>
      </c>
      <c r="G937" s="3">
        <v>8133.54</v>
      </c>
      <c r="H937" s="1">
        <v>9110</v>
      </c>
    </row>
    <row r="938" spans="1:8" x14ac:dyDescent="0.35">
      <c r="A938" s="2" t="s">
        <v>860</v>
      </c>
      <c r="B938" s="2" t="s">
        <v>367</v>
      </c>
      <c r="C938" s="3">
        <v>9425.69</v>
      </c>
      <c r="D938" s="1">
        <v>10560</v>
      </c>
      <c r="E938" t="str">
        <f>VLOOKUP(A938,Sheet2!A:E,5,)</f>
        <v>WRITERS TEARS DOUBLE OAK</v>
      </c>
      <c r="F938" t="s">
        <v>4</v>
      </c>
      <c r="G938" s="3">
        <v>9425.69</v>
      </c>
      <c r="H938" s="1">
        <v>10560</v>
      </c>
    </row>
    <row r="939" spans="1:8" x14ac:dyDescent="0.35">
      <c r="A939" s="2" t="s">
        <v>861</v>
      </c>
      <c r="B939" s="2" t="s">
        <v>368</v>
      </c>
      <c r="C939" s="3">
        <v>186.89</v>
      </c>
      <c r="D939" s="1">
        <v>210</v>
      </c>
      <c r="E939" t="str">
        <f>VLOOKUP(A939,Sheet2!A:E,5,)</f>
        <v>XCLAMATION PREMIER GIN</v>
      </c>
      <c r="F939" t="s">
        <v>374</v>
      </c>
      <c r="G939" s="3">
        <v>186.89</v>
      </c>
      <c r="H939" s="1">
        <v>210</v>
      </c>
    </row>
    <row r="940" spans="1:8" x14ac:dyDescent="0.35">
      <c r="A940" s="2" t="s">
        <v>862</v>
      </c>
      <c r="B940" s="2" t="s">
        <v>370</v>
      </c>
      <c r="C940" s="3">
        <v>371.84</v>
      </c>
      <c r="D940" s="1">
        <v>420</v>
      </c>
      <c r="E940" t="str">
        <f>VLOOKUP(A940,Sheet2!A:E,5,)</f>
        <v>XCLAMATION PREMIER GIN</v>
      </c>
      <c r="F940" t="s">
        <v>5</v>
      </c>
      <c r="G940" s="3">
        <v>371.84</v>
      </c>
      <c r="H940" s="1">
        <v>420</v>
      </c>
    </row>
    <row r="941" spans="1:8" x14ac:dyDescent="0.35">
      <c r="A941" s="2" t="s">
        <v>863</v>
      </c>
      <c r="B941" s="2" t="s">
        <v>369</v>
      </c>
      <c r="C941" s="3">
        <v>729.65</v>
      </c>
      <c r="D941" s="1">
        <v>820</v>
      </c>
      <c r="E941" t="str">
        <f>VLOOKUP(A941,Sheet2!A:E,5,)</f>
        <v>XCLAMATION PREMIER GIN</v>
      </c>
      <c r="F941" t="s">
        <v>4</v>
      </c>
      <c r="G941" s="3">
        <v>729.65</v>
      </c>
      <c r="H941" s="1">
        <v>820</v>
      </c>
    </row>
    <row r="942" spans="1:8" x14ac:dyDescent="0.35">
      <c r="A942" s="2" t="s">
        <v>332</v>
      </c>
      <c r="B942" s="2" t="s">
        <v>371</v>
      </c>
      <c r="C942" s="3">
        <v>98.45</v>
      </c>
      <c r="D942" s="1">
        <v>120</v>
      </c>
      <c r="E942" t="str">
        <f>VLOOKUP(A942,Sheet2!A:E,5,)</f>
        <v>XCLAMATION PREMIER GIN</v>
      </c>
      <c r="F942" t="s">
        <v>376</v>
      </c>
      <c r="G942" s="3">
        <v>98.45</v>
      </c>
      <c r="H942" s="1">
        <v>120</v>
      </c>
    </row>
    <row r="943" spans="1:8" x14ac:dyDescent="0.35">
      <c r="A943" s="2" t="s">
        <v>864</v>
      </c>
      <c r="B943" s="2" t="s">
        <v>368</v>
      </c>
      <c r="C943" s="3">
        <v>186.89</v>
      </c>
      <c r="D943" s="1">
        <v>210</v>
      </c>
      <c r="E943" t="str">
        <f>VLOOKUP(A943,Sheet2!A:E,5,)</f>
        <v>XCLAMATION PREMIER RUM</v>
      </c>
      <c r="F943" t="s">
        <v>374</v>
      </c>
      <c r="G943" s="3">
        <v>186.89</v>
      </c>
      <c r="H943" s="1">
        <v>210</v>
      </c>
    </row>
    <row r="944" spans="1:8" x14ac:dyDescent="0.35">
      <c r="A944" s="2" t="s">
        <v>864</v>
      </c>
      <c r="B944" s="2" t="s">
        <v>370</v>
      </c>
      <c r="C944" s="3">
        <v>371.84</v>
      </c>
      <c r="D944" s="1">
        <v>420</v>
      </c>
      <c r="E944" t="str">
        <f>VLOOKUP(A944,Sheet2!A:E,5,)</f>
        <v>XCLAMATION PREMIER RUM</v>
      </c>
      <c r="F944" t="s">
        <v>5</v>
      </c>
      <c r="G944" s="3">
        <v>371.84</v>
      </c>
      <c r="H944" s="1">
        <v>420</v>
      </c>
    </row>
    <row r="945" spans="1:8" x14ac:dyDescent="0.35">
      <c r="A945" s="2" t="s">
        <v>865</v>
      </c>
      <c r="B945" s="2" t="s">
        <v>369</v>
      </c>
      <c r="C945" s="3">
        <v>723.68</v>
      </c>
      <c r="D945" s="1">
        <v>820</v>
      </c>
      <c r="E945" t="str">
        <f>VLOOKUP(A945,Sheet2!A:E,5,)</f>
        <v>XCLAMATION PREMIER RUM</v>
      </c>
      <c r="F945" t="s">
        <v>4</v>
      </c>
      <c r="G945" s="3">
        <v>723.68</v>
      </c>
      <c r="H945" s="1">
        <v>820</v>
      </c>
    </row>
    <row r="946" spans="1:8" x14ac:dyDescent="0.35">
      <c r="A946" s="2" t="s">
        <v>333</v>
      </c>
      <c r="B946" s="2" t="s">
        <v>371</v>
      </c>
      <c r="C946" s="3">
        <v>98.45</v>
      </c>
      <c r="D946" s="1">
        <v>120</v>
      </c>
      <c r="E946" t="str">
        <f>VLOOKUP(A946,Sheet2!A:E,5,)</f>
        <v>XCLAMATION PREMIER RUM</v>
      </c>
      <c r="F946" t="s">
        <v>376</v>
      </c>
      <c r="G946" s="3">
        <v>98.45</v>
      </c>
      <c r="H946" s="1">
        <v>120</v>
      </c>
    </row>
    <row r="947" spans="1:8" x14ac:dyDescent="0.35">
      <c r="A947" s="2" t="s">
        <v>866</v>
      </c>
      <c r="B947" s="2" t="s">
        <v>368</v>
      </c>
      <c r="C947" s="3">
        <v>186.89</v>
      </c>
      <c r="D947" s="1">
        <v>210</v>
      </c>
      <c r="E947" t="str">
        <f>VLOOKUP(A947,Sheet2!A:E,5,)</f>
        <v>XCLAMATION PREMIER VODKA</v>
      </c>
      <c r="F947" t="s">
        <v>374</v>
      </c>
      <c r="G947" s="3">
        <v>186.89</v>
      </c>
      <c r="H947" s="1">
        <v>210</v>
      </c>
    </row>
    <row r="948" spans="1:8" x14ac:dyDescent="0.35">
      <c r="A948" s="2" t="s">
        <v>867</v>
      </c>
      <c r="B948" s="2" t="s">
        <v>370</v>
      </c>
      <c r="C948" s="3">
        <v>371.84</v>
      </c>
      <c r="D948" s="1">
        <v>420</v>
      </c>
      <c r="E948" t="str">
        <f>VLOOKUP(A948,Sheet2!A:E,5,)</f>
        <v>XCLAMATION PREMIER VODKA</v>
      </c>
      <c r="F948" t="s">
        <v>5</v>
      </c>
      <c r="G948" s="3">
        <v>371.84</v>
      </c>
      <c r="H948" s="1">
        <v>420</v>
      </c>
    </row>
    <row r="949" spans="1:8" x14ac:dyDescent="0.35">
      <c r="A949" s="2" t="s">
        <v>868</v>
      </c>
      <c r="B949" s="2" t="s">
        <v>369</v>
      </c>
      <c r="C949" s="3">
        <v>723.68</v>
      </c>
      <c r="D949" s="1">
        <v>820</v>
      </c>
      <c r="E949" t="str">
        <f>VLOOKUP(A949,Sheet2!A:E,5,)</f>
        <v>XCLAMATION PREMIER VODKA</v>
      </c>
      <c r="F949" t="s">
        <v>4</v>
      </c>
      <c r="G949" s="3">
        <v>723.68</v>
      </c>
      <c r="H949" s="1">
        <v>820</v>
      </c>
    </row>
    <row r="950" spans="1:8" x14ac:dyDescent="0.35">
      <c r="A950" s="2" t="s">
        <v>334</v>
      </c>
      <c r="B950" s="2" t="s">
        <v>371</v>
      </c>
      <c r="C950" s="3">
        <v>98.45</v>
      </c>
      <c r="D950" s="1">
        <v>120</v>
      </c>
      <c r="E950" t="str">
        <f>VLOOKUP(A950,Sheet2!A:E,5,)</f>
        <v>XCLAMATION PREMIER VODKA</v>
      </c>
      <c r="F950" t="s">
        <v>376</v>
      </c>
      <c r="G950" s="3">
        <v>98.45</v>
      </c>
      <c r="H950" s="1">
        <v>120</v>
      </c>
    </row>
    <row r="951" spans="1:8" x14ac:dyDescent="0.35">
      <c r="A951" s="2" t="s">
        <v>869</v>
      </c>
      <c r="B951" s="2" t="s">
        <v>368</v>
      </c>
      <c r="C951" s="3">
        <v>186.89</v>
      </c>
      <c r="D951" s="1">
        <v>210</v>
      </c>
      <c r="E951" t="str">
        <f>VLOOKUP(A951,Sheet2!A:E,5,)</f>
        <v>XCLAMATION PREMIER WHISKY</v>
      </c>
      <c r="F951" t="s">
        <v>374</v>
      </c>
      <c r="G951" s="3">
        <v>186.89</v>
      </c>
      <c r="H951" s="1">
        <v>210</v>
      </c>
    </row>
    <row r="952" spans="1:8" x14ac:dyDescent="0.35">
      <c r="A952" s="2" t="s">
        <v>870</v>
      </c>
      <c r="B952" s="2" t="s">
        <v>370</v>
      </c>
      <c r="C952" s="3">
        <v>371.84</v>
      </c>
      <c r="D952" s="1">
        <v>420</v>
      </c>
      <c r="E952" t="str">
        <f>VLOOKUP(A952,Sheet2!A:E,5,)</f>
        <v>XCLAMATION PREMIER WHISKY</v>
      </c>
      <c r="F952" t="s">
        <v>5</v>
      </c>
      <c r="G952" s="3">
        <v>371.84</v>
      </c>
      <c r="H952" s="1">
        <v>420</v>
      </c>
    </row>
    <row r="953" spans="1:8" x14ac:dyDescent="0.35">
      <c r="A953" s="2" t="s">
        <v>871</v>
      </c>
      <c r="B953" s="2" t="s">
        <v>369</v>
      </c>
      <c r="C953" s="3">
        <v>723.68</v>
      </c>
      <c r="D953" s="1">
        <v>820</v>
      </c>
      <c r="E953" t="str">
        <f>VLOOKUP(A953,Sheet2!A:E,5,)</f>
        <v>XCLAMATION PREMIER WHISKY</v>
      </c>
      <c r="F953" t="s">
        <v>4</v>
      </c>
      <c r="G953" s="3">
        <v>723.68</v>
      </c>
      <c r="H953" s="1">
        <v>820</v>
      </c>
    </row>
    <row r="954" spans="1:8" x14ac:dyDescent="0.35">
      <c r="A954" s="2" t="s">
        <v>335</v>
      </c>
      <c r="B954" s="2" t="s">
        <v>371</v>
      </c>
      <c r="C954" s="3">
        <v>98.45</v>
      </c>
      <c r="D954" s="1">
        <v>120</v>
      </c>
      <c r="E954" t="str">
        <f>VLOOKUP(A954,Sheet2!A:E,5,)</f>
        <v>XCLAMATION PREMIER WHISKY</v>
      </c>
      <c r="F954" t="s">
        <v>376</v>
      </c>
      <c r="G954" s="3">
        <v>98.45</v>
      </c>
      <c r="H954" s="1">
        <v>120</v>
      </c>
    </row>
    <row r="955" spans="1:8" x14ac:dyDescent="0.35">
      <c r="A955" s="2" t="s">
        <v>872</v>
      </c>
      <c r="B955" s="2" t="s">
        <v>368</v>
      </c>
      <c r="C955" s="3">
        <v>205.41</v>
      </c>
      <c r="D955" s="1">
        <v>240</v>
      </c>
      <c r="E955" t="str">
        <f>VLOOKUP(A955,Sheet2!A:E,5,)</f>
        <v>X&amp;O BARREL WHISKEY</v>
      </c>
      <c r="F955" t="s">
        <v>374</v>
      </c>
      <c r="G955" s="3">
        <v>205.41</v>
      </c>
      <c r="H955" s="1">
        <v>240</v>
      </c>
    </row>
    <row r="956" spans="1:8" x14ac:dyDescent="0.35">
      <c r="A956" s="2" t="s">
        <v>873</v>
      </c>
      <c r="B956" s="2" t="s">
        <v>370</v>
      </c>
      <c r="C956" s="3">
        <v>417.74</v>
      </c>
      <c r="D956" s="1">
        <v>470</v>
      </c>
      <c r="E956" t="str">
        <f>VLOOKUP(A956,Sheet2!A:E,5,)</f>
        <v>X&amp;O BARREL WHISKEY</v>
      </c>
      <c r="F956" t="s">
        <v>5</v>
      </c>
      <c r="G956" s="3">
        <v>417.74</v>
      </c>
      <c r="H956" s="1">
        <v>470</v>
      </c>
    </row>
    <row r="957" spans="1:8" x14ac:dyDescent="0.35">
      <c r="A957" s="2" t="s">
        <v>874</v>
      </c>
      <c r="B957" s="2" t="s">
        <v>369</v>
      </c>
      <c r="C957" s="3">
        <v>815.11</v>
      </c>
      <c r="D957" s="1">
        <v>920</v>
      </c>
      <c r="E957" t="str">
        <f>VLOOKUP(A957,Sheet2!A:E,5,)</f>
        <v>X&amp;O BARREL WHISKEY</v>
      </c>
      <c r="F957" t="s">
        <v>4</v>
      </c>
      <c r="G957" s="3">
        <v>815.11</v>
      </c>
      <c r="H957" s="1">
        <v>920</v>
      </c>
    </row>
    <row r="958" spans="1:8" x14ac:dyDescent="0.35">
      <c r="A958" s="2" t="s">
        <v>875</v>
      </c>
      <c r="B958" s="2" t="s">
        <v>369</v>
      </c>
      <c r="C958" s="3">
        <v>9457.59</v>
      </c>
      <c r="D958" s="1">
        <v>10600</v>
      </c>
      <c r="E958" t="str">
        <f>VLOOKUP(A958,Sheet2!A:E,5,)</f>
        <v>YAMAZAKI DISTILLER RESERVE</v>
      </c>
      <c r="F958" t="s">
        <v>4</v>
      </c>
      <c r="G958" s="3">
        <v>9457.59</v>
      </c>
      <c r="H958" s="1">
        <v>10600</v>
      </c>
    </row>
    <row r="959" spans="1:8" x14ac:dyDescent="0.35">
      <c r="A959" s="2" t="s">
        <v>336</v>
      </c>
      <c r="B959" s="2" t="s">
        <v>369</v>
      </c>
      <c r="C959" s="3">
        <v>2109.5</v>
      </c>
      <c r="D959" s="1">
        <v>2370</v>
      </c>
      <c r="E959" t="str">
        <f>VLOOKUP(A959,Sheet2!A:E,5,)</f>
        <v>YELLOW TAIL CABERNET</v>
      </c>
      <c r="F959" t="s">
        <v>4</v>
      </c>
      <c r="G959" s="3">
        <v>2109.5</v>
      </c>
      <c r="H959" s="1">
        <v>2370</v>
      </c>
    </row>
    <row r="960" spans="1:8" x14ac:dyDescent="0.35">
      <c r="A960" s="2" t="s">
        <v>337</v>
      </c>
      <c r="B960" s="2" t="s">
        <v>369</v>
      </c>
      <c r="C960" s="3">
        <v>1767.84</v>
      </c>
      <c r="D960" s="1">
        <v>1980</v>
      </c>
      <c r="E960" t="str">
        <f>VLOOKUP(A960,Sheet2!A:E,5,)</f>
        <v>YELLOW TAIL MASCATO/SHIRAZ</v>
      </c>
      <c r="F960" t="s">
        <v>4</v>
      </c>
      <c r="G960" s="3">
        <v>1767.84</v>
      </c>
      <c r="H960" s="1">
        <v>1980</v>
      </c>
    </row>
    <row r="961" spans="1:8" x14ac:dyDescent="0.35">
      <c r="A961" s="2" t="s">
        <v>338</v>
      </c>
      <c r="B961" s="2" t="s">
        <v>369</v>
      </c>
      <c r="C961" s="3">
        <v>1808.44</v>
      </c>
      <c r="D961" s="1">
        <v>2030</v>
      </c>
      <c r="E961" t="str">
        <f>VLOOKUP(A961,Sheet2!A:E,5,)</f>
        <v>YELLOW TAIL MASCATO/SHIRAZ</v>
      </c>
      <c r="F961" t="s">
        <v>4</v>
      </c>
      <c r="G961" s="3">
        <v>1808.44</v>
      </c>
      <c r="H961" s="1">
        <v>2030</v>
      </c>
    </row>
    <row r="962" spans="1:8" x14ac:dyDescent="0.35">
      <c r="A962" s="2" t="s">
        <v>876</v>
      </c>
      <c r="B962" s="2" t="s">
        <v>369</v>
      </c>
      <c r="C962" s="3">
        <v>2675.23</v>
      </c>
      <c r="D962" s="1">
        <v>3000</v>
      </c>
      <c r="E962" t="str">
        <f>VLOOKUP(A962,Sheet2!A:E,5,)</f>
        <v>YELLOW TAIL RED\PINK MASCATO/SHIRAZ</v>
      </c>
      <c r="F962" t="s">
        <v>4</v>
      </c>
      <c r="G962" s="3">
        <v>2675.23</v>
      </c>
      <c r="H962" s="1">
        <v>3000</v>
      </c>
    </row>
    <row r="963" spans="1:8" x14ac:dyDescent="0.35">
      <c r="A963" s="2" t="s">
        <v>877</v>
      </c>
      <c r="B963" s="2" t="s">
        <v>369</v>
      </c>
      <c r="C963" s="3">
        <v>1669.05</v>
      </c>
      <c r="D963" s="1">
        <v>1870</v>
      </c>
      <c r="E963" t="str">
        <f>VLOOKUP(A963,Sheet2!A:E,5,)</f>
        <v>ZOYA LUXURY GIN</v>
      </c>
      <c r="F963" t="s">
        <v>4</v>
      </c>
      <c r="G963" s="3">
        <v>1669.05</v>
      </c>
      <c r="H963" s="1">
        <v>1870</v>
      </c>
    </row>
    <row r="964" spans="1:8" x14ac:dyDescent="0.35">
      <c r="A964" s="2" t="s">
        <v>339</v>
      </c>
      <c r="B964" s="2" t="s">
        <v>369</v>
      </c>
      <c r="C964" s="3">
        <v>1861.94</v>
      </c>
      <c r="D964" s="1">
        <v>2090</v>
      </c>
      <c r="E964" t="str">
        <f>VLOOKUP(A964,Sheet2!A:E,5,)</f>
        <v>ZOYA WATERMELON GIN</v>
      </c>
      <c r="F964" t="s">
        <v>4</v>
      </c>
      <c r="G964" s="3">
        <v>1861.94</v>
      </c>
      <c r="H964" s="1">
        <v>2090</v>
      </c>
    </row>
    <row r="965" spans="1:8" x14ac:dyDescent="0.35">
      <c r="A965" s="2" t="s">
        <v>878</v>
      </c>
      <c r="B965" s="2" t="s">
        <v>372</v>
      </c>
      <c r="C965" s="3">
        <v>129.79</v>
      </c>
      <c r="D965" s="1">
        <v>150</v>
      </c>
      <c r="E965" t="str">
        <f>VLOOKUP(A965,Sheet2!A:E,5,)</f>
        <v>ZUMBA BLACK SPICED RUM</v>
      </c>
      <c r="F965" t="s">
        <v>374</v>
      </c>
      <c r="G965" s="3">
        <v>129.79</v>
      </c>
      <c r="H965" s="1">
        <v>150</v>
      </c>
    </row>
    <row r="966" spans="1:8" x14ac:dyDescent="0.35">
      <c r="A966" s="2" t="s">
        <v>878</v>
      </c>
      <c r="B966" s="2" t="s">
        <v>370</v>
      </c>
      <c r="C966" s="3">
        <v>267.89999999999998</v>
      </c>
      <c r="D966" s="1">
        <v>310</v>
      </c>
      <c r="E966" t="str">
        <f>VLOOKUP(A966,Sheet2!A:E,5,)</f>
        <v>ZUMBA BLACK SPICED RUM</v>
      </c>
      <c r="F966" t="s">
        <v>5</v>
      </c>
      <c r="G966" s="3">
        <v>267.89999999999998</v>
      </c>
      <c r="H966" s="1">
        <v>310</v>
      </c>
    </row>
    <row r="967" spans="1:8" x14ac:dyDescent="0.35">
      <c r="A967" s="2" t="s">
        <v>878</v>
      </c>
      <c r="B967" s="2" t="s">
        <v>369</v>
      </c>
      <c r="C967" s="3">
        <v>526.28</v>
      </c>
      <c r="D967" s="1">
        <v>590</v>
      </c>
      <c r="E967" t="str">
        <f>VLOOKUP(A967,Sheet2!A:E,5,)</f>
        <v>ZUMBA BLACK SPICED RUM</v>
      </c>
      <c r="F967" t="s">
        <v>4</v>
      </c>
      <c r="G967" s="3">
        <v>526.28</v>
      </c>
      <c r="H967" s="1">
        <v>590</v>
      </c>
    </row>
    <row r="968" spans="1:8" x14ac:dyDescent="0.35">
      <c r="A968" s="2" t="s">
        <v>879</v>
      </c>
      <c r="B968" s="2" t="s">
        <v>368</v>
      </c>
      <c r="C968" s="3">
        <v>177.24</v>
      </c>
      <c r="D968" s="1">
        <v>200</v>
      </c>
      <c r="E968" t="str">
        <f>VLOOKUP(A968,Sheet2!A:E,5,)</f>
        <v>ZUMBA LEMONI RUM</v>
      </c>
      <c r="F968" t="s">
        <v>374</v>
      </c>
      <c r="G968" s="3">
        <v>177.24</v>
      </c>
      <c r="H968" s="1">
        <v>200</v>
      </c>
    </row>
    <row r="969" spans="1:8" x14ac:dyDescent="0.35">
      <c r="A969" s="2" t="s">
        <v>879</v>
      </c>
      <c r="B969" s="2" t="s">
        <v>370</v>
      </c>
      <c r="C969" s="3">
        <v>362.54</v>
      </c>
      <c r="D969" s="1">
        <v>410</v>
      </c>
      <c r="E969" t="str">
        <f>VLOOKUP(A969,Sheet2!A:E,5,)</f>
        <v>ZUMBA LEMONI RUM</v>
      </c>
      <c r="F969" t="s">
        <v>5</v>
      </c>
      <c r="G969" s="3">
        <v>362.54</v>
      </c>
      <c r="H969" s="1">
        <v>410</v>
      </c>
    </row>
    <row r="970" spans="1:8" x14ac:dyDescent="0.35">
      <c r="A970" s="2" t="s">
        <v>879</v>
      </c>
      <c r="B970" s="2" t="s">
        <v>369</v>
      </c>
      <c r="C970" s="3">
        <v>695.17</v>
      </c>
      <c r="D970" s="1">
        <v>780</v>
      </c>
      <c r="E970" t="str">
        <f>VLOOKUP(A970,Sheet2!A:E,5,)</f>
        <v>ZUMBA LEMONI RUM</v>
      </c>
      <c r="F970" t="s">
        <v>4</v>
      </c>
      <c r="G970" s="3">
        <v>695.17</v>
      </c>
      <c r="H970" s="1">
        <v>780</v>
      </c>
    </row>
    <row r="971" spans="1:8" x14ac:dyDescent="0.35">
      <c r="A971" s="2" t="s">
        <v>880</v>
      </c>
      <c r="B971" s="2" t="s">
        <v>373</v>
      </c>
      <c r="C971" s="3">
        <v>97.3</v>
      </c>
      <c r="D971" s="1">
        <v>110</v>
      </c>
      <c r="E971" t="str">
        <f>VLOOKUP(A971,Sheet2!A:E,5,)</f>
        <v>AMSTEL BEER GRANDE ROYALE</v>
      </c>
      <c r="F971" t="s">
        <v>375</v>
      </c>
      <c r="G971" s="3">
        <v>97.3</v>
      </c>
      <c r="H971" s="1">
        <v>110</v>
      </c>
    </row>
    <row r="972" spans="1:8" x14ac:dyDescent="0.35">
      <c r="A972" s="2" t="s">
        <v>880</v>
      </c>
      <c r="B972" s="2" t="s">
        <v>370</v>
      </c>
      <c r="C972" s="3">
        <v>140.75</v>
      </c>
      <c r="D972" s="1">
        <v>160</v>
      </c>
      <c r="E972" t="str">
        <f>VLOOKUP(A972,Sheet2!A:E,5,)</f>
        <v>AMSTEL BEER GRANDE ROYALE</v>
      </c>
      <c r="F972" t="s">
        <v>5</v>
      </c>
      <c r="G972" s="3">
        <v>140.75</v>
      </c>
      <c r="H972" s="1">
        <v>160</v>
      </c>
    </row>
    <row r="973" spans="1:8" x14ac:dyDescent="0.35">
      <c r="A973" s="2" t="s">
        <v>880</v>
      </c>
      <c r="B973" s="2" t="s">
        <v>369</v>
      </c>
      <c r="C973" s="3">
        <v>184.98</v>
      </c>
      <c r="D973" s="1">
        <v>210</v>
      </c>
      <c r="E973" t="str">
        <f>VLOOKUP(A973,Sheet2!A:E,5,)</f>
        <v>AMSTEL BEER GRANDE ROYALE</v>
      </c>
      <c r="F973" t="s">
        <v>4</v>
      </c>
      <c r="G973" s="3">
        <v>184.98</v>
      </c>
      <c r="H973" s="1">
        <v>210</v>
      </c>
    </row>
    <row r="974" spans="1:8" x14ac:dyDescent="0.35">
      <c r="A974" s="2" t="s">
        <v>881</v>
      </c>
      <c r="B974" s="2" t="s">
        <v>373</v>
      </c>
      <c r="C974" s="3">
        <v>238.07</v>
      </c>
      <c r="D974" s="1">
        <v>270</v>
      </c>
      <c r="E974" t="str">
        <f>VLOOKUP(A974,Sheet2!A:E,5,)</f>
        <v>AMSTEL LIGHT BEER</v>
      </c>
      <c r="F974" t="s">
        <v>375</v>
      </c>
      <c r="G974" s="3">
        <v>238.07</v>
      </c>
      <c r="H974" s="1">
        <v>270</v>
      </c>
    </row>
    <row r="975" spans="1:8" x14ac:dyDescent="0.35">
      <c r="A975" s="2" t="s">
        <v>340</v>
      </c>
      <c r="B975" s="2" t="s">
        <v>370</v>
      </c>
      <c r="C975" s="3">
        <v>117.64</v>
      </c>
      <c r="D975" s="1">
        <v>140</v>
      </c>
      <c r="E975" t="str">
        <f>VLOOKUP(A975,Sheet2!A:E,5,)</f>
        <v>BAD MONKEY WILD STRONG BEER</v>
      </c>
      <c r="F975" t="s">
        <v>5</v>
      </c>
      <c r="G975" s="3">
        <v>117.64</v>
      </c>
      <c r="H975" s="1">
        <v>140</v>
      </c>
    </row>
    <row r="976" spans="1:8" x14ac:dyDescent="0.35">
      <c r="A976" s="2" t="s">
        <v>341</v>
      </c>
      <c r="B976" s="1" t="s">
        <v>373</v>
      </c>
      <c r="C976" s="3">
        <v>131.24</v>
      </c>
      <c r="D976" s="1">
        <v>150</v>
      </c>
      <c r="E976" t="str">
        <f>VLOOKUP(A976,Sheet2!A:E,5,)</f>
        <v>B BREEZER BLUEBERRY/MANGO</v>
      </c>
      <c r="F976" t="s">
        <v>375</v>
      </c>
      <c r="G976" s="3">
        <v>131.24</v>
      </c>
      <c r="H976" s="1">
        <v>150</v>
      </c>
    </row>
    <row r="977" spans="1:8" x14ac:dyDescent="0.35">
      <c r="A977" s="2" t="s">
        <v>342</v>
      </c>
      <c r="B977" s="1" t="s">
        <v>373</v>
      </c>
      <c r="C977" s="3">
        <v>147</v>
      </c>
      <c r="D977" s="1">
        <v>170</v>
      </c>
      <c r="E977" t="str">
        <f>VLOOKUP(A977,Sheet2!A:E,5,)</f>
        <v>B BREEZER FLAV. BEER 275 8%</v>
      </c>
      <c r="F977" t="s">
        <v>375</v>
      </c>
      <c r="G977" s="3">
        <v>147</v>
      </c>
      <c r="H977" s="1">
        <v>170</v>
      </c>
    </row>
    <row r="978" spans="1:8" x14ac:dyDescent="0.35">
      <c r="A978" s="2" t="s">
        <v>882</v>
      </c>
      <c r="B978" s="2" t="s">
        <v>373</v>
      </c>
      <c r="C978" s="3">
        <v>170.24</v>
      </c>
      <c r="D978" s="1">
        <v>200</v>
      </c>
      <c r="E978" t="str">
        <f>VLOOKUP(A978,Sheet2!A:E,5,)</f>
        <v>BIA SAIGON LAGER</v>
      </c>
      <c r="F978" t="s">
        <v>375</v>
      </c>
      <c r="G978" s="3">
        <v>170.24</v>
      </c>
      <c r="H978" s="1">
        <v>200</v>
      </c>
    </row>
    <row r="979" spans="1:8" x14ac:dyDescent="0.35">
      <c r="A979" s="2" t="s">
        <v>883</v>
      </c>
      <c r="B979" s="1" t="s">
        <v>373</v>
      </c>
      <c r="C979" s="3">
        <v>207.2</v>
      </c>
      <c r="D979" s="1">
        <v>240</v>
      </c>
      <c r="E979" t="str">
        <f>VLOOKUP(A979,Sheet2!A:E,5,)</f>
        <v>BIA SAIGON LAGER</v>
      </c>
      <c r="F979" t="s">
        <v>375</v>
      </c>
      <c r="G979" s="3">
        <v>207.2</v>
      </c>
      <c r="H979" s="1">
        <v>240</v>
      </c>
    </row>
    <row r="980" spans="1:8" x14ac:dyDescent="0.35">
      <c r="A980" s="2" t="s">
        <v>884</v>
      </c>
      <c r="B980" s="2" t="s">
        <v>370</v>
      </c>
      <c r="C980" s="3">
        <v>168.56</v>
      </c>
      <c r="D980" s="1">
        <v>190</v>
      </c>
      <c r="E980" t="str">
        <f>VLOOKUP(A980,Sheet2!A:E,5,)</f>
        <v>BIG BRO BLANCO</v>
      </c>
      <c r="F980" t="s">
        <v>5</v>
      </c>
      <c r="G980" s="3">
        <v>168.56</v>
      </c>
      <c r="H980" s="1">
        <v>190</v>
      </c>
    </row>
    <row r="981" spans="1:8" x14ac:dyDescent="0.35">
      <c r="A981" s="2" t="s">
        <v>885</v>
      </c>
      <c r="B981" s="2" t="s">
        <v>370</v>
      </c>
      <c r="C981" s="3">
        <v>121.47</v>
      </c>
      <c r="D981" s="1">
        <v>140</v>
      </c>
      <c r="E981" t="str">
        <f>VLOOKUP(A981,Sheet2!A:E,5,)</f>
        <v>BIRA 91 PLUS STRONG BEER</v>
      </c>
      <c r="F981" t="s">
        <v>5</v>
      </c>
      <c r="G981" s="3">
        <v>121.47</v>
      </c>
      <c r="H981" s="1">
        <v>140</v>
      </c>
    </row>
    <row r="982" spans="1:8" x14ac:dyDescent="0.35">
      <c r="A982" s="2" t="s">
        <v>343</v>
      </c>
      <c r="B982" s="2" t="s">
        <v>370</v>
      </c>
      <c r="C982" s="3">
        <v>131.21</v>
      </c>
      <c r="D982" s="1">
        <v>150</v>
      </c>
      <c r="E982" t="str">
        <f>VLOOKUP(A982,Sheet2!A:E,5,)</f>
        <v>BIRA BLONDE / LIGHT</v>
      </c>
      <c r="F982" t="s">
        <v>5</v>
      </c>
      <c r="G982" s="3">
        <v>131.21</v>
      </c>
      <c r="H982" s="1">
        <v>150</v>
      </c>
    </row>
    <row r="983" spans="1:8" x14ac:dyDescent="0.35">
      <c r="A983" s="2" t="s">
        <v>886</v>
      </c>
      <c r="B983" s="2" t="s">
        <v>370</v>
      </c>
      <c r="C983" s="3">
        <v>140.85</v>
      </c>
      <c r="D983" s="1">
        <v>160</v>
      </c>
      <c r="E983" t="str">
        <f>VLOOKUP(A983,Sheet2!A:E,5,)</f>
        <v>BIRA CRISP RISE RICE STRONG BEER</v>
      </c>
      <c r="F983" t="s">
        <v>5</v>
      </c>
      <c r="G983" s="3">
        <v>140.85</v>
      </c>
      <c r="H983" s="1">
        <v>160</v>
      </c>
    </row>
    <row r="984" spans="1:8" x14ac:dyDescent="0.35">
      <c r="A984" s="2" t="s">
        <v>886</v>
      </c>
      <c r="B984" s="1" t="s">
        <v>369</v>
      </c>
      <c r="C984" s="3">
        <v>185.1</v>
      </c>
      <c r="D984" s="1">
        <v>210</v>
      </c>
      <c r="E984" t="str">
        <f>VLOOKUP(A984,Sheet2!A:E,5,)</f>
        <v>BIRA CRISP RISE RICE STRONG BEER</v>
      </c>
      <c r="F984" t="s">
        <v>4</v>
      </c>
      <c r="G984" s="3">
        <v>185.1</v>
      </c>
      <c r="H984" s="1">
        <v>210</v>
      </c>
    </row>
    <row r="985" spans="1:8" x14ac:dyDescent="0.35">
      <c r="A985" s="2" t="s">
        <v>887</v>
      </c>
      <c r="B985" s="2" t="s">
        <v>370</v>
      </c>
      <c r="C985" s="3">
        <v>133.27000000000001</v>
      </c>
      <c r="D985" s="1">
        <v>150</v>
      </c>
      <c r="E985" t="str">
        <f>VLOOKUP(A985,Sheet2!A:E,5,)</f>
        <v>BIRA GOLD STRONG BEER</v>
      </c>
      <c r="F985" t="s">
        <v>5</v>
      </c>
      <c r="G985" s="3">
        <v>133.27000000000001</v>
      </c>
      <c r="H985" s="1">
        <v>150</v>
      </c>
    </row>
    <row r="986" spans="1:8" x14ac:dyDescent="0.35">
      <c r="A986" s="2" t="s">
        <v>888</v>
      </c>
      <c r="B986" s="2" t="s">
        <v>373</v>
      </c>
      <c r="C986" s="3">
        <v>97.41</v>
      </c>
      <c r="D986" s="1">
        <v>110</v>
      </c>
      <c r="E986" t="str">
        <f>VLOOKUP(A986,Sheet2!A:E,5,)</f>
        <v>BIRA LIGHT BEER</v>
      </c>
      <c r="F986" t="s">
        <v>375</v>
      </c>
      <c r="G986" s="3">
        <v>97.41</v>
      </c>
      <c r="H986" s="1">
        <v>110</v>
      </c>
    </row>
    <row r="987" spans="1:8" x14ac:dyDescent="0.35">
      <c r="A987" s="2" t="s">
        <v>889</v>
      </c>
      <c r="B987" s="2" t="s">
        <v>370</v>
      </c>
      <c r="C987" s="3">
        <v>160.11000000000001</v>
      </c>
      <c r="D987" s="1">
        <v>180</v>
      </c>
      <c r="E987" t="str">
        <f>VLOOKUP(A987,Sheet2!A:E,5,)</f>
        <v>BIRA WHITE ALE</v>
      </c>
      <c r="F987" t="s">
        <v>5</v>
      </c>
      <c r="G987" s="3">
        <v>160.11000000000001</v>
      </c>
      <c r="H987" s="1">
        <v>180</v>
      </c>
    </row>
    <row r="988" spans="1:8" x14ac:dyDescent="0.35">
      <c r="A988" s="2" t="s">
        <v>890</v>
      </c>
      <c r="B988" s="2" t="s">
        <v>373</v>
      </c>
      <c r="C988" s="3">
        <v>106.87</v>
      </c>
      <c r="D988" s="1">
        <v>120</v>
      </c>
      <c r="E988" t="str">
        <f>VLOOKUP(A988,Sheet2!A:E,5,)</f>
        <v>BIRA WHITE ALE/INDIAN/MALABAR</v>
      </c>
      <c r="F988" t="s">
        <v>375</v>
      </c>
      <c r="G988" s="3">
        <v>106.87</v>
      </c>
      <c r="H988" s="1">
        <v>120</v>
      </c>
    </row>
    <row r="989" spans="1:8" x14ac:dyDescent="0.35">
      <c r="A989" s="2" t="s">
        <v>891</v>
      </c>
      <c r="B989" s="2" t="s">
        <v>373</v>
      </c>
      <c r="C989" s="3">
        <v>223.52</v>
      </c>
      <c r="D989" s="1">
        <v>260</v>
      </c>
      <c r="E989" t="str">
        <f>VLOOKUP(A989,Sheet2!A:E,5,)</f>
        <v>BIRRA MORETTI BEER</v>
      </c>
      <c r="F989" t="s">
        <v>375</v>
      </c>
      <c r="G989" s="3">
        <v>223.52</v>
      </c>
      <c r="H989" s="1">
        <v>260</v>
      </c>
    </row>
    <row r="990" spans="1:8" x14ac:dyDescent="0.35">
      <c r="A990" s="2" t="s">
        <v>344</v>
      </c>
      <c r="B990" s="2" t="s">
        <v>370</v>
      </c>
      <c r="C990" s="3">
        <v>111.87</v>
      </c>
      <c r="D990" s="1">
        <v>130</v>
      </c>
      <c r="E990" t="str">
        <f>VLOOKUP(A990,Sheet2!A:E,5,)</f>
        <v>BLACK PEARL STORNG BEER</v>
      </c>
      <c r="F990" t="s">
        <v>5</v>
      </c>
      <c r="G990" s="3">
        <v>111.87</v>
      </c>
      <c r="H990" s="1">
        <v>130</v>
      </c>
    </row>
    <row r="991" spans="1:8" x14ac:dyDescent="0.35">
      <c r="A991" s="2" t="s">
        <v>345</v>
      </c>
      <c r="B991" s="1" t="s">
        <v>370</v>
      </c>
      <c r="C991" s="3">
        <v>159.41999999999999</v>
      </c>
      <c r="D991" s="1">
        <v>180</v>
      </c>
      <c r="E991" t="str">
        <f>VLOOKUP(A991,Sheet2!A:E,5,)</f>
        <v>BRO CODE EL CLASSIC</v>
      </c>
      <c r="F991" t="s">
        <v>5</v>
      </c>
      <c r="G991" s="3">
        <v>159.41999999999999</v>
      </c>
      <c r="H991" s="1">
        <v>180</v>
      </c>
    </row>
    <row r="992" spans="1:8" x14ac:dyDescent="0.35">
      <c r="A992" s="2" t="s">
        <v>892</v>
      </c>
      <c r="B992" s="1" t="s">
        <v>370</v>
      </c>
      <c r="C992" s="3">
        <v>184.17</v>
      </c>
      <c r="D992" s="1">
        <v>210</v>
      </c>
      <c r="E992" t="str">
        <f>VLOOKUP(A992,Sheet2!A:E,5,)</f>
        <v>BRO RED CLARET</v>
      </c>
      <c r="F992" t="s">
        <v>5</v>
      </c>
      <c r="G992" s="3">
        <v>184.17</v>
      </c>
      <c r="H992" s="1">
        <v>210</v>
      </c>
    </row>
    <row r="993" spans="1:8" x14ac:dyDescent="0.35">
      <c r="A993" s="2" t="s">
        <v>893</v>
      </c>
      <c r="B993" s="2" t="s">
        <v>373</v>
      </c>
      <c r="C993" s="3">
        <v>166.84</v>
      </c>
      <c r="D993" s="1">
        <v>190</v>
      </c>
      <c r="E993" t="str">
        <f>VLOOKUP(A993,Sheet2!A:E,5,)</f>
        <v>BROSE BUZZ BRUT ROSE</v>
      </c>
      <c r="F993" t="s">
        <v>375</v>
      </c>
      <c r="G993" s="3">
        <v>166.84</v>
      </c>
      <c r="H993" s="1">
        <v>190</v>
      </c>
    </row>
    <row r="994" spans="1:8" x14ac:dyDescent="0.35">
      <c r="A994" s="2" t="s">
        <v>894</v>
      </c>
      <c r="B994" s="1" t="s">
        <v>369</v>
      </c>
      <c r="C994" s="3">
        <v>184.92</v>
      </c>
      <c r="D994" s="1">
        <v>210</v>
      </c>
      <c r="E994" t="str">
        <f>VLOOKUP(A994,Sheet2!A:E,5,)</f>
        <v>BUDWISER MAGNUM BEER</v>
      </c>
      <c r="F994" t="s">
        <v>4</v>
      </c>
      <c r="G994" s="3">
        <v>184.92</v>
      </c>
      <c r="H994" s="1">
        <v>210</v>
      </c>
    </row>
    <row r="995" spans="1:8" x14ac:dyDescent="0.35">
      <c r="A995" s="2" t="s">
        <v>895</v>
      </c>
      <c r="B995" s="2" t="s">
        <v>370</v>
      </c>
      <c r="C995" s="3">
        <v>140.75</v>
      </c>
      <c r="D995" s="1">
        <v>160</v>
      </c>
      <c r="E995" t="str">
        <f>VLOOKUP(A995,Sheet2!A:E,5,)</f>
        <v>BUDWISER MAGNUM INTERNATIONAL BEER</v>
      </c>
      <c r="F995" t="s">
        <v>5</v>
      </c>
      <c r="G995" s="3">
        <v>140.75</v>
      </c>
      <c r="H995" s="1">
        <v>160</v>
      </c>
    </row>
    <row r="996" spans="1:8" x14ac:dyDescent="0.35">
      <c r="A996" s="2" t="s">
        <v>896</v>
      </c>
      <c r="B996" s="2" t="s">
        <v>373</v>
      </c>
      <c r="C996" s="3">
        <v>87.48</v>
      </c>
      <c r="D996" s="1">
        <v>100</v>
      </c>
      <c r="E996" t="str">
        <f>VLOOKUP(A996,Sheet2!A:E,5,)</f>
        <v>BUDWISER PREMIUM LAGER</v>
      </c>
      <c r="F996" t="s">
        <v>375</v>
      </c>
      <c r="G996" s="3">
        <v>87.48</v>
      </c>
      <c r="H996" s="1">
        <v>100</v>
      </c>
    </row>
    <row r="997" spans="1:8" x14ac:dyDescent="0.35">
      <c r="A997" s="2" t="s">
        <v>896</v>
      </c>
      <c r="B997" s="2" t="s">
        <v>370</v>
      </c>
      <c r="C997" s="3">
        <v>131.19999999999999</v>
      </c>
      <c r="D997" s="1">
        <v>150</v>
      </c>
      <c r="E997" t="str">
        <f>VLOOKUP(A997,Sheet2!A:E,5,)</f>
        <v>BUDWISER PREMIUM LAGER</v>
      </c>
      <c r="F997" t="s">
        <v>5</v>
      </c>
      <c r="G997" s="3">
        <v>131.19999999999999</v>
      </c>
      <c r="H997" s="1">
        <v>150</v>
      </c>
    </row>
    <row r="998" spans="1:8" x14ac:dyDescent="0.35">
      <c r="A998" s="2" t="s">
        <v>896</v>
      </c>
      <c r="B998" s="1" t="s">
        <v>369</v>
      </c>
      <c r="C998" s="3">
        <v>165.55</v>
      </c>
      <c r="D998" s="1">
        <v>190</v>
      </c>
      <c r="E998" t="str">
        <f>VLOOKUP(A998,Sheet2!A:E,5,)</f>
        <v>BUDWISER PREMIUM LAGER</v>
      </c>
      <c r="F998" t="s">
        <v>4</v>
      </c>
      <c r="G998" s="3">
        <v>165.55</v>
      </c>
      <c r="H998" s="1">
        <v>190</v>
      </c>
    </row>
    <row r="999" spans="1:8" x14ac:dyDescent="0.35">
      <c r="A999" s="2" t="s">
        <v>897</v>
      </c>
      <c r="B999" s="2" t="s">
        <v>370</v>
      </c>
      <c r="C999" s="3">
        <v>186.64</v>
      </c>
      <c r="D999" s="1">
        <v>210</v>
      </c>
      <c r="E999" t="str">
        <f>VLOOKUP(A999,Sheet2!A:E,5,)</f>
        <v>BUHO STRONG</v>
      </c>
      <c r="F999" t="s">
        <v>5</v>
      </c>
      <c r="G999" s="3">
        <v>186.64</v>
      </c>
      <c r="H999" s="1">
        <v>210</v>
      </c>
    </row>
    <row r="1000" spans="1:8" x14ac:dyDescent="0.35">
      <c r="A1000" s="2" t="s">
        <v>898</v>
      </c>
      <c r="B1000" s="2" t="s">
        <v>370</v>
      </c>
      <c r="C1000" s="3">
        <v>198.3</v>
      </c>
      <c r="D1000" s="1">
        <v>230</v>
      </c>
      <c r="E1000" t="str">
        <f>VLOOKUP(A1000,Sheet2!A:E,5,)</f>
        <v>BUHO WITBIER</v>
      </c>
      <c r="F1000" t="s">
        <v>5</v>
      </c>
      <c r="G1000" s="3">
        <v>198.3</v>
      </c>
      <c r="H1000" s="1">
        <v>230</v>
      </c>
    </row>
    <row r="1001" spans="1:8" x14ac:dyDescent="0.35">
      <c r="A1001" s="2" t="s">
        <v>346</v>
      </c>
      <c r="B1001" s="2" t="s">
        <v>373</v>
      </c>
      <c r="C1001" s="3">
        <v>135.38999999999999</v>
      </c>
      <c r="D1001" s="1">
        <v>160</v>
      </c>
      <c r="E1001" t="str">
        <f>VLOOKUP(A1001,Sheet2!A:E,5,)</f>
        <v>CAMPAI WIT/STRONG</v>
      </c>
      <c r="F1001" t="s">
        <v>375</v>
      </c>
      <c r="G1001" s="3">
        <v>135.38999999999999</v>
      </c>
      <c r="H1001" s="1">
        <v>160</v>
      </c>
    </row>
    <row r="1002" spans="1:8" x14ac:dyDescent="0.35">
      <c r="A1002" s="2" t="s">
        <v>899</v>
      </c>
      <c r="B1002" s="2" t="s">
        <v>370</v>
      </c>
      <c r="C1002" s="3">
        <v>111.87</v>
      </c>
      <c r="D1002" s="1">
        <v>130</v>
      </c>
      <c r="E1002" t="str">
        <f>VLOOKUP(A1002,Sheet2!A:E,5,)</f>
        <v>CARIB STRONG BEER</v>
      </c>
      <c r="F1002" t="s">
        <v>5</v>
      </c>
      <c r="G1002" s="3">
        <v>111.87</v>
      </c>
      <c r="H1002" s="1">
        <v>130</v>
      </c>
    </row>
    <row r="1003" spans="1:8" x14ac:dyDescent="0.35">
      <c r="A1003" s="2" t="s">
        <v>900</v>
      </c>
      <c r="B1003" s="2" t="s">
        <v>373</v>
      </c>
      <c r="C1003" s="3">
        <v>205</v>
      </c>
      <c r="D1003" s="1">
        <v>230</v>
      </c>
      <c r="E1003" t="str">
        <f>VLOOKUP(A1003,Sheet2!A:E,5,)</f>
        <v>CASS FRESH</v>
      </c>
      <c r="F1003" t="s">
        <v>375</v>
      </c>
      <c r="G1003" s="3">
        <v>205</v>
      </c>
      <c r="H1003" s="1">
        <v>230</v>
      </c>
    </row>
    <row r="1004" spans="1:8" x14ac:dyDescent="0.35">
      <c r="A1004" s="2" t="s">
        <v>347</v>
      </c>
      <c r="B1004" s="2" t="s">
        <v>373</v>
      </c>
      <c r="C1004" s="3">
        <v>87.81</v>
      </c>
      <c r="D1004" s="1">
        <v>100</v>
      </c>
      <c r="E1004" t="str">
        <f>VLOOKUP(A1004,Sheet2!A:E,5,)</f>
        <v>CB ELEPHANT</v>
      </c>
      <c r="F1004" t="s">
        <v>375</v>
      </c>
      <c r="G1004" s="3">
        <v>87.81</v>
      </c>
      <c r="H1004" s="1">
        <v>100</v>
      </c>
    </row>
    <row r="1005" spans="1:8" x14ac:dyDescent="0.35">
      <c r="A1005" s="2" t="s">
        <v>348</v>
      </c>
      <c r="B1005" s="2" t="s">
        <v>370</v>
      </c>
      <c r="C1005" s="3">
        <v>147.37</v>
      </c>
      <c r="D1005" s="1">
        <v>170</v>
      </c>
      <c r="E1005" t="str">
        <f>VLOOKUP(A1005,Sheet2!A:E,5,)</f>
        <v>CB ELEPHANT</v>
      </c>
      <c r="F1005" t="s">
        <v>5</v>
      </c>
      <c r="G1005" s="3">
        <v>147.37</v>
      </c>
      <c r="H1005" s="1">
        <v>170</v>
      </c>
    </row>
    <row r="1006" spans="1:8" x14ac:dyDescent="0.35">
      <c r="A1006" s="2" t="s">
        <v>349</v>
      </c>
      <c r="B1006" s="1" t="s">
        <v>369</v>
      </c>
      <c r="C1006" s="3">
        <v>185.08</v>
      </c>
      <c r="D1006" s="1">
        <v>210</v>
      </c>
      <c r="E1006" t="str">
        <f>VLOOKUP(A1006,Sheet2!A:E,5,)</f>
        <v>CB ELEPHANT STRONG BEER</v>
      </c>
      <c r="F1006" t="s">
        <v>4</v>
      </c>
      <c r="G1006" s="3">
        <v>185.08</v>
      </c>
      <c r="H1006" s="1">
        <v>210</v>
      </c>
    </row>
    <row r="1007" spans="1:8" x14ac:dyDescent="0.35">
      <c r="A1007" s="2" t="s">
        <v>350</v>
      </c>
      <c r="B1007" s="2" t="s">
        <v>370</v>
      </c>
      <c r="C1007" s="3">
        <v>140.72999999999999</v>
      </c>
      <c r="D1007" s="1">
        <v>160</v>
      </c>
      <c r="E1007" t="str">
        <f>VLOOKUP(A1007,Sheet2!A:E,5,)</f>
        <v>CB STRONG</v>
      </c>
      <c r="F1007" t="s">
        <v>5</v>
      </c>
      <c r="G1007" s="3">
        <v>140.72999999999999</v>
      </c>
      <c r="H1007" s="1">
        <v>160</v>
      </c>
    </row>
    <row r="1008" spans="1:8" x14ac:dyDescent="0.35">
      <c r="A1008" s="2" t="s">
        <v>901</v>
      </c>
      <c r="B1008" s="2" t="s">
        <v>373</v>
      </c>
      <c r="C1008" s="3">
        <v>87.66</v>
      </c>
      <c r="D1008" s="1">
        <v>100</v>
      </c>
      <c r="E1008" t="str">
        <f>VLOOKUP(A1008,Sheet2!A:E,5,)</f>
        <v>CB STRONG BEER</v>
      </c>
      <c r="F1008" t="s">
        <v>375</v>
      </c>
      <c r="G1008" s="3">
        <v>87.66</v>
      </c>
      <c r="H1008" s="1">
        <v>100</v>
      </c>
    </row>
    <row r="1009" spans="1:8" x14ac:dyDescent="0.35">
      <c r="A1009" s="2" t="s">
        <v>902</v>
      </c>
      <c r="B1009" s="1" t="s">
        <v>370</v>
      </c>
      <c r="C1009" s="3">
        <v>253.74</v>
      </c>
      <c r="D1009" s="1">
        <v>290</v>
      </c>
      <c r="E1009" t="str">
        <f>VLOOKUP(A1009,Sheet2!A:E,5,)</f>
        <v>COOPERS EXTRA STOUT BEER</v>
      </c>
      <c r="F1009" t="s">
        <v>5</v>
      </c>
      <c r="G1009" s="3">
        <v>253.74</v>
      </c>
      <c r="H1009" s="1">
        <v>290</v>
      </c>
    </row>
    <row r="1010" spans="1:8" x14ac:dyDescent="0.35">
      <c r="A1010" s="2" t="s">
        <v>903</v>
      </c>
      <c r="B1010" s="1" t="s">
        <v>370</v>
      </c>
      <c r="C1010" s="3">
        <v>257.16000000000003</v>
      </c>
      <c r="D1010" s="1">
        <v>290</v>
      </c>
      <c r="E1010" t="str">
        <f>VLOOKUP(A1010,Sheet2!A:E,5,)</f>
        <v>COOPERS PALE ALE BEER</v>
      </c>
      <c r="F1010" t="s">
        <v>5</v>
      </c>
      <c r="G1010" s="3">
        <v>257.16000000000003</v>
      </c>
      <c r="H1010" s="1">
        <v>290</v>
      </c>
    </row>
    <row r="1011" spans="1:8" x14ac:dyDescent="0.35">
      <c r="A1011" s="2" t="s">
        <v>351</v>
      </c>
      <c r="B1011" s="2" t="s">
        <v>373</v>
      </c>
      <c r="C1011" s="3">
        <v>144.97</v>
      </c>
      <c r="D1011" s="1">
        <v>170</v>
      </c>
      <c r="E1011" t="str">
        <f>VLOOKUP(A1011,Sheet2!A:E,5,)</f>
        <v>CORONA BEER</v>
      </c>
      <c r="F1011" t="s">
        <v>375</v>
      </c>
      <c r="G1011" s="3">
        <v>144.97</v>
      </c>
      <c r="H1011" s="1">
        <v>170</v>
      </c>
    </row>
    <row r="1012" spans="1:8" x14ac:dyDescent="0.35">
      <c r="A1012" s="2" t="s">
        <v>352</v>
      </c>
      <c r="B1012" s="2" t="s">
        <v>370</v>
      </c>
      <c r="C1012" s="3">
        <v>217.26</v>
      </c>
      <c r="D1012" s="1">
        <v>250</v>
      </c>
      <c r="E1012" t="str">
        <f>VLOOKUP(A1012,Sheet2!A:E,5,)</f>
        <v>CORONA BEER</v>
      </c>
      <c r="F1012" t="s">
        <v>5</v>
      </c>
      <c r="G1012" s="3">
        <v>217.26</v>
      </c>
      <c r="H1012" s="1">
        <v>250</v>
      </c>
    </row>
    <row r="1013" spans="1:8" x14ac:dyDescent="0.35">
      <c r="A1013" s="2" t="s">
        <v>904</v>
      </c>
      <c r="B1013" s="2" t="s">
        <v>373</v>
      </c>
      <c r="C1013" s="3">
        <v>159.83000000000001</v>
      </c>
      <c r="D1013" s="1">
        <v>180</v>
      </c>
      <c r="E1013" t="str">
        <f>VLOOKUP(A1013,Sheet2!A:E,5,)</f>
        <v>DEE WINE ELITE</v>
      </c>
      <c r="F1013" t="s">
        <v>375</v>
      </c>
      <c r="G1013" s="3">
        <v>159.83000000000001</v>
      </c>
      <c r="H1013" s="1">
        <v>180</v>
      </c>
    </row>
    <row r="1014" spans="1:8" x14ac:dyDescent="0.35">
      <c r="A1014" s="2" t="s">
        <v>353</v>
      </c>
      <c r="B1014" s="1" t="s">
        <v>370</v>
      </c>
      <c r="C1014" s="3">
        <v>155.61000000000001</v>
      </c>
      <c r="D1014" s="1">
        <v>180</v>
      </c>
      <c r="E1014" t="str">
        <f>VLOOKUP(A1014,Sheet2!A:E,5,)</f>
        <v>DISCO PANDA HOPPY/MANGO MAGIC</v>
      </c>
      <c r="F1014" t="s">
        <v>5</v>
      </c>
      <c r="G1014" s="3">
        <v>155.61000000000001</v>
      </c>
      <c r="H1014" s="1">
        <v>180</v>
      </c>
    </row>
    <row r="1015" spans="1:8" x14ac:dyDescent="0.35">
      <c r="A1015" s="2" t="s">
        <v>354</v>
      </c>
      <c r="B1015" s="2" t="s">
        <v>373</v>
      </c>
      <c r="C1015" s="3">
        <v>145</v>
      </c>
      <c r="D1015" s="1">
        <v>170</v>
      </c>
      <c r="E1015" t="str">
        <f>VLOOKUP(A1015,Sheet2!A:E,5,)</f>
        <v>DISCO PANDA HOPPY MANIA SUP. STRONG</v>
      </c>
      <c r="F1015" t="s">
        <v>375</v>
      </c>
      <c r="G1015" s="3">
        <v>145</v>
      </c>
      <c r="H1015" s="1">
        <v>170</v>
      </c>
    </row>
    <row r="1016" spans="1:8" x14ac:dyDescent="0.35">
      <c r="A1016" s="2" t="s">
        <v>355</v>
      </c>
      <c r="B1016" s="1" t="s">
        <v>370</v>
      </c>
      <c r="C1016" s="3">
        <v>144.33000000000001</v>
      </c>
      <c r="D1016" s="1">
        <v>170</v>
      </c>
      <c r="E1016" t="str">
        <f>VLOOKUP(A1016,Sheet2!A:E,5,)</f>
        <v>DISCO PANDA PAAN SUPARI ST</v>
      </c>
      <c r="F1016" t="s">
        <v>5</v>
      </c>
      <c r="G1016" s="3">
        <v>144.33000000000001</v>
      </c>
      <c r="H1016" s="1">
        <v>170</v>
      </c>
    </row>
    <row r="1017" spans="1:8" x14ac:dyDescent="0.35">
      <c r="A1017" s="2" t="s">
        <v>905</v>
      </c>
      <c r="B1017" s="2" t="s">
        <v>373</v>
      </c>
      <c r="C1017" s="3">
        <v>176.52</v>
      </c>
      <c r="D1017" s="1">
        <v>200</v>
      </c>
      <c r="E1017" t="str">
        <f>VLOOKUP(A1017,Sheet2!A:E,5,)</f>
        <v>ESTELLA DAMM BEER</v>
      </c>
      <c r="F1017" t="s">
        <v>375</v>
      </c>
      <c r="G1017" s="3">
        <v>176.52</v>
      </c>
      <c r="H1017" s="1">
        <v>200</v>
      </c>
    </row>
    <row r="1018" spans="1:8" x14ac:dyDescent="0.35">
      <c r="A1018" s="2" t="s">
        <v>906</v>
      </c>
      <c r="B1018" s="2" t="s">
        <v>370</v>
      </c>
      <c r="C1018" s="3">
        <v>121.49</v>
      </c>
      <c r="D1018" s="1">
        <v>140</v>
      </c>
      <c r="E1018" t="str">
        <f>VLOOKUP(A1018,Sheet2!A:E,5,)</f>
        <v>FOSTERS GOLD PREMIUM SRTONG BEER</v>
      </c>
      <c r="F1018" t="s">
        <v>5</v>
      </c>
      <c r="G1018" s="3">
        <v>121.49</v>
      </c>
      <c r="H1018" s="1">
        <v>140</v>
      </c>
    </row>
    <row r="1019" spans="1:8" x14ac:dyDescent="0.35">
      <c r="A1019" s="2" t="s">
        <v>907</v>
      </c>
      <c r="B1019" s="2" t="s">
        <v>370</v>
      </c>
      <c r="C1019" s="3">
        <v>118.03</v>
      </c>
      <c r="D1019" s="1">
        <v>140</v>
      </c>
      <c r="E1019" t="str">
        <f>VLOOKUP(A1019,Sheet2!A:E,5,)</f>
        <v>GODFATHER STRONG/LEGD. BEER</v>
      </c>
      <c r="F1019" t="s">
        <v>5</v>
      </c>
      <c r="G1019" s="3">
        <v>118.03</v>
      </c>
      <c r="H1019" s="1">
        <v>140</v>
      </c>
    </row>
    <row r="1020" spans="1:8" x14ac:dyDescent="0.35">
      <c r="A1020" s="2" t="s">
        <v>907</v>
      </c>
      <c r="B1020" s="1" t="s">
        <v>369</v>
      </c>
      <c r="C1020" s="3">
        <v>165.82</v>
      </c>
      <c r="D1020" s="1">
        <v>190</v>
      </c>
      <c r="E1020" t="str">
        <f>VLOOKUP(A1020,Sheet2!A:E,5,)</f>
        <v>GODFATHER STRONG/LEGD. BEER</v>
      </c>
      <c r="F1020" t="s">
        <v>4</v>
      </c>
      <c r="G1020" s="3">
        <v>165.82</v>
      </c>
      <c r="H1020" s="1">
        <v>190</v>
      </c>
    </row>
    <row r="1021" spans="1:8" x14ac:dyDescent="0.35">
      <c r="A1021" s="2" t="s">
        <v>908</v>
      </c>
      <c r="B1021" s="2" t="s">
        <v>370</v>
      </c>
      <c r="C1021" s="3">
        <v>103.63</v>
      </c>
      <c r="D1021" s="1">
        <v>120</v>
      </c>
      <c r="E1021" t="str">
        <f>VLOOKUP(A1021,Sheet2!A:E,5,)</f>
        <v>GODFATHER SUPER8 BEER</v>
      </c>
      <c r="F1021" t="s">
        <v>5</v>
      </c>
      <c r="G1021" s="3">
        <v>103.63</v>
      </c>
      <c r="H1021" s="1">
        <v>120</v>
      </c>
    </row>
    <row r="1022" spans="1:8" x14ac:dyDescent="0.35">
      <c r="A1022" s="2" t="s">
        <v>356</v>
      </c>
      <c r="B1022" s="2" t="s">
        <v>370</v>
      </c>
      <c r="C1022" s="3">
        <v>104.75</v>
      </c>
      <c r="D1022" s="1">
        <v>120</v>
      </c>
      <c r="E1022" t="str">
        <f>VLOOKUP(A1022,Sheet2!A:E,5,)</f>
        <v>GOLDEN EAGLE CLASSIC STRONG BEER</v>
      </c>
      <c r="F1022" t="s">
        <v>5</v>
      </c>
      <c r="G1022" s="3">
        <v>104.75</v>
      </c>
      <c r="H1022" s="1">
        <v>120</v>
      </c>
    </row>
    <row r="1023" spans="1:8" x14ac:dyDescent="0.35">
      <c r="A1023" s="2" t="s">
        <v>909</v>
      </c>
      <c r="B1023" s="2" t="s">
        <v>373</v>
      </c>
      <c r="C1023" s="3">
        <v>152.04</v>
      </c>
      <c r="D1023" s="1">
        <v>180</v>
      </c>
      <c r="E1023" t="str">
        <f>VLOOKUP(A1023,Sheet2!A:E,5,)</f>
        <v>HAMESTER FLAVOUR BEER</v>
      </c>
      <c r="F1023" t="s">
        <v>375</v>
      </c>
      <c r="G1023" s="3">
        <v>152.04</v>
      </c>
      <c r="H1023" s="1">
        <v>180</v>
      </c>
    </row>
    <row r="1024" spans="1:8" x14ac:dyDescent="0.35">
      <c r="A1024" s="2" t="s">
        <v>910</v>
      </c>
      <c r="B1024" s="2" t="s">
        <v>373</v>
      </c>
      <c r="C1024" s="3">
        <v>154.44</v>
      </c>
      <c r="D1024" s="1">
        <v>180</v>
      </c>
      <c r="E1024" t="str">
        <f>VLOOKUP(A1024,Sheet2!A:E,5,)</f>
        <v>HAMESTER STRONG</v>
      </c>
      <c r="F1024" t="s">
        <v>375</v>
      </c>
      <c r="G1024" s="3">
        <v>154.44</v>
      </c>
      <c r="H1024" s="1">
        <v>180</v>
      </c>
    </row>
    <row r="1025" spans="1:8" x14ac:dyDescent="0.35">
      <c r="A1025" s="2" t="s">
        <v>911</v>
      </c>
      <c r="B1025" s="2" t="s">
        <v>370</v>
      </c>
      <c r="C1025" s="3">
        <v>106.5</v>
      </c>
      <c r="D1025" s="1">
        <v>120</v>
      </c>
      <c r="E1025" t="str">
        <f>VLOOKUP(A1025,Sheet2!A:E,5,)</f>
        <v>HAYWARDS 0 STRONG BEER</v>
      </c>
      <c r="F1025" t="s">
        <v>5</v>
      </c>
      <c r="G1025" s="3">
        <v>106.5</v>
      </c>
      <c r="H1025" s="1">
        <v>120</v>
      </c>
    </row>
    <row r="1026" spans="1:8" x14ac:dyDescent="0.35">
      <c r="A1026" s="2" t="s">
        <v>912</v>
      </c>
      <c r="B1026" s="2" t="s">
        <v>373</v>
      </c>
      <c r="C1026" s="3">
        <v>95.31</v>
      </c>
      <c r="D1026" s="1">
        <v>110</v>
      </c>
      <c r="E1026" t="str">
        <f>VLOOKUP(A1026,Sheet2!A:E,5,)</f>
        <v>HEINECAN BEER</v>
      </c>
      <c r="F1026" t="s">
        <v>375</v>
      </c>
      <c r="G1026" s="3">
        <v>95.31</v>
      </c>
      <c r="H1026" s="1">
        <v>110</v>
      </c>
    </row>
    <row r="1027" spans="1:8" x14ac:dyDescent="0.35">
      <c r="A1027" s="2" t="s">
        <v>913</v>
      </c>
      <c r="B1027" s="2" t="s">
        <v>370</v>
      </c>
      <c r="C1027" s="3">
        <v>150.4</v>
      </c>
      <c r="D1027" s="1">
        <v>170</v>
      </c>
      <c r="E1027" t="str">
        <f>VLOOKUP(A1027,Sheet2!A:E,5,)</f>
        <v>HEINECAN BEER</v>
      </c>
      <c r="F1027" t="s">
        <v>5</v>
      </c>
      <c r="G1027" s="3">
        <v>150.4</v>
      </c>
      <c r="H1027" s="1">
        <v>170</v>
      </c>
    </row>
    <row r="1028" spans="1:8" x14ac:dyDescent="0.35">
      <c r="A1028" s="2" t="s">
        <v>914</v>
      </c>
      <c r="B1028" s="2" t="s">
        <v>373</v>
      </c>
      <c r="C1028" s="3">
        <v>157.02000000000001</v>
      </c>
      <c r="D1028" s="1">
        <v>180</v>
      </c>
      <c r="E1028" t="str">
        <f>VLOOKUP(A1028,Sheet2!A:E,5,)</f>
        <v>HILLSBERG BEER</v>
      </c>
      <c r="F1028" t="s">
        <v>375</v>
      </c>
      <c r="G1028" s="3">
        <v>157.02000000000001</v>
      </c>
      <c r="H1028" s="1">
        <v>180</v>
      </c>
    </row>
    <row r="1029" spans="1:8" x14ac:dyDescent="0.35">
      <c r="A1029" s="2" t="s">
        <v>915</v>
      </c>
      <c r="B1029" s="2" t="s">
        <v>373</v>
      </c>
      <c r="C1029" s="3">
        <v>160.19999999999999</v>
      </c>
      <c r="D1029" s="1">
        <v>180</v>
      </c>
      <c r="E1029" t="str">
        <f>VLOOKUP(A1029,Sheet2!A:E,5,)</f>
        <v>HILLSBERG ULTRA BEER</v>
      </c>
      <c r="F1029" t="s">
        <v>375</v>
      </c>
      <c r="G1029" s="3">
        <v>160.19999999999999</v>
      </c>
      <c r="H1029" s="1">
        <v>180</v>
      </c>
    </row>
    <row r="1030" spans="1:8" x14ac:dyDescent="0.35">
      <c r="A1030" s="2" t="s">
        <v>916</v>
      </c>
      <c r="B1030" s="2" t="s">
        <v>373</v>
      </c>
      <c r="C1030" s="3">
        <v>143.41999999999999</v>
      </c>
      <c r="D1030" s="1">
        <v>170</v>
      </c>
      <c r="E1030" t="str">
        <f>VLOOKUP(A1030,Sheet2!A:E,5,)</f>
        <v>HOEGARDEN BEER</v>
      </c>
      <c r="F1030" t="s">
        <v>375</v>
      </c>
      <c r="G1030" s="3">
        <v>143.41999999999999</v>
      </c>
      <c r="H1030" s="1">
        <v>170</v>
      </c>
    </row>
    <row r="1031" spans="1:8" x14ac:dyDescent="0.35">
      <c r="A1031" s="2" t="s">
        <v>916</v>
      </c>
      <c r="B1031" s="2" t="s">
        <v>370</v>
      </c>
      <c r="C1031" s="3">
        <v>217.28</v>
      </c>
      <c r="D1031" s="1">
        <v>250</v>
      </c>
      <c r="E1031" t="str">
        <f>VLOOKUP(A1031,Sheet2!A:E,5,)</f>
        <v>HOEGARDEN BEER</v>
      </c>
      <c r="F1031" t="s">
        <v>5</v>
      </c>
      <c r="G1031" s="3">
        <v>217.28</v>
      </c>
      <c r="H1031" s="1">
        <v>250</v>
      </c>
    </row>
    <row r="1032" spans="1:8" x14ac:dyDescent="0.35">
      <c r="A1032" s="2" t="s">
        <v>917</v>
      </c>
      <c r="B1032" s="2" t="s">
        <v>370</v>
      </c>
      <c r="C1032" s="3">
        <v>196</v>
      </c>
      <c r="D1032" s="1">
        <v>220</v>
      </c>
      <c r="E1032" t="str">
        <f>VLOOKUP(A1032,Sheet2!A:E,5,)</f>
        <v>HOPPER BLONDE</v>
      </c>
      <c r="F1032" t="s">
        <v>5</v>
      </c>
      <c r="G1032" s="3">
        <v>196</v>
      </c>
      <c r="H1032" s="1">
        <v>220</v>
      </c>
    </row>
    <row r="1033" spans="1:8" x14ac:dyDescent="0.35">
      <c r="A1033" s="2" t="s">
        <v>918</v>
      </c>
      <c r="B1033" s="2" t="s">
        <v>373</v>
      </c>
      <c r="C1033" s="3">
        <v>192</v>
      </c>
      <c r="D1033" s="1">
        <v>220</v>
      </c>
      <c r="E1033" t="str">
        <f>VLOOKUP(A1033,Sheet2!A:E,5,)</f>
        <v>HOPPER BLONDE BEER</v>
      </c>
      <c r="F1033" t="s">
        <v>375</v>
      </c>
      <c r="G1033" s="3">
        <v>192</v>
      </c>
      <c r="H1033" s="1">
        <v>220</v>
      </c>
    </row>
    <row r="1034" spans="1:8" x14ac:dyDescent="0.35">
      <c r="A1034" s="2" t="s">
        <v>919</v>
      </c>
      <c r="B1034" s="2" t="s">
        <v>370</v>
      </c>
      <c r="C1034" s="3">
        <v>209.98</v>
      </c>
      <c r="D1034" s="1">
        <v>240</v>
      </c>
      <c r="E1034" t="str">
        <f>VLOOKUP(A1034,Sheet2!A:E,5,)</f>
        <v>HOPPER WITBIER</v>
      </c>
      <c r="F1034" t="s">
        <v>5</v>
      </c>
      <c r="G1034" s="3">
        <v>209.98</v>
      </c>
      <c r="H1034" s="1">
        <v>240</v>
      </c>
    </row>
    <row r="1035" spans="1:8" x14ac:dyDescent="0.35">
      <c r="A1035" s="2" t="s">
        <v>920</v>
      </c>
      <c r="B1035" s="2" t="s">
        <v>373</v>
      </c>
      <c r="C1035" s="3">
        <v>192</v>
      </c>
      <c r="D1035" s="1">
        <v>220</v>
      </c>
      <c r="E1035" t="str">
        <f>VLOOKUP(A1035,Sheet2!A:E,5,)</f>
        <v>HOPPER WITBLER BEER</v>
      </c>
      <c r="F1035" t="s">
        <v>375</v>
      </c>
      <c r="G1035" s="3">
        <v>192</v>
      </c>
      <c r="H1035" s="1">
        <v>220</v>
      </c>
    </row>
    <row r="1036" spans="1:8" x14ac:dyDescent="0.35">
      <c r="A1036" s="2" t="s">
        <v>921</v>
      </c>
      <c r="B1036" s="2" t="s">
        <v>370</v>
      </c>
      <c r="C1036" s="3">
        <v>111.87</v>
      </c>
      <c r="D1036" s="1">
        <v>130</v>
      </c>
      <c r="E1036" t="str">
        <f>VLOOKUP(A1036,Sheet2!A:E,5,)</f>
        <v>HUNTER REFRESHING ST NAT WHEAT BEER</v>
      </c>
      <c r="F1036" t="s">
        <v>5</v>
      </c>
      <c r="G1036" s="3">
        <v>111.87</v>
      </c>
      <c r="H1036" s="1">
        <v>130</v>
      </c>
    </row>
    <row r="1037" spans="1:8" x14ac:dyDescent="0.35">
      <c r="A1037" s="2" t="s">
        <v>357</v>
      </c>
      <c r="B1037" s="1" t="s">
        <v>373</v>
      </c>
      <c r="C1037" s="3">
        <v>193.75</v>
      </c>
      <c r="D1037" s="1">
        <v>220</v>
      </c>
      <c r="E1037" t="str">
        <f>VLOOKUP(A1037,Sheet2!A:E,5,)</f>
        <v>INACANE</v>
      </c>
      <c r="F1037" t="s">
        <v>375</v>
      </c>
      <c r="G1037" s="3">
        <v>193.75</v>
      </c>
      <c r="H1037" s="1">
        <v>220</v>
      </c>
    </row>
    <row r="1038" spans="1:8" x14ac:dyDescent="0.35">
      <c r="A1038" s="2" t="s">
        <v>358</v>
      </c>
      <c r="B1038" s="1" t="s">
        <v>373</v>
      </c>
      <c r="C1038" s="3">
        <v>106.72</v>
      </c>
      <c r="D1038" s="1">
        <v>120</v>
      </c>
      <c r="E1038" t="str">
        <f>VLOOKUP(A1038,Sheet2!A:E,5,)</f>
        <v>IQ SPACIALLY WHEAT</v>
      </c>
      <c r="F1038" t="s">
        <v>375</v>
      </c>
      <c r="G1038" s="3">
        <v>106.72</v>
      </c>
      <c r="H1038" s="1">
        <v>120</v>
      </c>
    </row>
    <row r="1039" spans="1:8" x14ac:dyDescent="0.35">
      <c r="A1039" s="2" t="s">
        <v>922</v>
      </c>
      <c r="B1039" s="2" t="s">
        <v>373</v>
      </c>
      <c r="C1039" s="3">
        <v>186.77</v>
      </c>
      <c r="D1039" s="1">
        <v>210</v>
      </c>
      <c r="E1039" t="str">
        <f>VLOOKUP(A1039,Sheet2!A:E,5,)</f>
        <v>JOES CRAFT PREMIUM STRONG BEER</v>
      </c>
      <c r="F1039" t="s">
        <v>375</v>
      </c>
      <c r="G1039" s="3">
        <v>186.77</v>
      </c>
      <c r="H1039" s="1">
        <v>210</v>
      </c>
    </row>
    <row r="1040" spans="1:8" x14ac:dyDescent="0.35">
      <c r="A1040" s="2" t="s">
        <v>923</v>
      </c>
      <c r="B1040" s="2" t="s">
        <v>373</v>
      </c>
      <c r="C1040" s="3">
        <v>69.94</v>
      </c>
      <c r="D1040" s="1">
        <v>80</v>
      </c>
      <c r="E1040" t="str">
        <f>VLOOKUP(A1040,Sheet2!A:E,5,)</f>
        <v>K F LAGER BEER</v>
      </c>
      <c r="F1040" t="s">
        <v>375</v>
      </c>
      <c r="G1040" s="3">
        <v>69.94</v>
      </c>
      <c r="H1040" s="1">
        <v>80</v>
      </c>
    </row>
    <row r="1041" spans="1:8" x14ac:dyDescent="0.35">
      <c r="A1041" s="2" t="s">
        <v>923</v>
      </c>
      <c r="B1041" s="2" t="s">
        <v>370</v>
      </c>
      <c r="C1041" s="3">
        <v>104.45</v>
      </c>
      <c r="D1041" s="1">
        <v>120</v>
      </c>
      <c r="E1041" t="str">
        <f>VLOOKUP(A1041,Sheet2!A:E,5,)</f>
        <v>K F LAGER BEER</v>
      </c>
      <c r="F1041" t="s">
        <v>5</v>
      </c>
      <c r="G1041" s="3">
        <v>104.45</v>
      </c>
      <c r="H1041" s="1">
        <v>120</v>
      </c>
    </row>
    <row r="1042" spans="1:8" x14ac:dyDescent="0.35">
      <c r="A1042" s="2" t="s">
        <v>923</v>
      </c>
      <c r="B1042" s="1" t="s">
        <v>369</v>
      </c>
      <c r="C1042" s="3">
        <v>140.18</v>
      </c>
      <c r="D1042" s="1">
        <v>160</v>
      </c>
      <c r="E1042" t="str">
        <f>VLOOKUP(A1042,Sheet2!A:E,5,)</f>
        <v>K F LAGER BEER</v>
      </c>
      <c r="F1042" t="s">
        <v>4</v>
      </c>
      <c r="G1042" s="3">
        <v>140.18</v>
      </c>
      <c r="H1042" s="1">
        <v>160</v>
      </c>
    </row>
    <row r="1043" spans="1:8" x14ac:dyDescent="0.35">
      <c r="A1043" s="2" t="s">
        <v>359</v>
      </c>
      <c r="B1043" s="2" t="s">
        <v>370</v>
      </c>
      <c r="C1043" s="3">
        <v>121.43</v>
      </c>
      <c r="D1043" s="1">
        <v>140</v>
      </c>
      <c r="E1043" t="str">
        <f>VLOOKUP(A1043,Sheet2!A:E,5,)</f>
        <v>K F S EXTRA SPECIAL STRONG BEER</v>
      </c>
      <c r="F1043" t="s">
        <v>5</v>
      </c>
      <c r="G1043" s="3">
        <v>121.43</v>
      </c>
      <c r="H1043" s="1">
        <v>140</v>
      </c>
    </row>
    <row r="1044" spans="1:8" x14ac:dyDescent="0.35">
      <c r="A1044" s="2" t="s">
        <v>360</v>
      </c>
      <c r="B1044" s="1" t="s">
        <v>369</v>
      </c>
      <c r="C1044" s="3">
        <v>165.8</v>
      </c>
      <c r="D1044" s="1">
        <v>190</v>
      </c>
      <c r="E1044" t="str">
        <f>VLOOKUP(A1044,Sheet2!A:E,5,)</f>
        <v>K F S EXTRA SPECIAL STRONG BEER</v>
      </c>
      <c r="F1044" t="s">
        <v>4</v>
      </c>
      <c r="G1044" s="3">
        <v>165.8</v>
      </c>
      <c r="H1044" s="1">
        <v>190</v>
      </c>
    </row>
    <row r="1045" spans="1:8" x14ac:dyDescent="0.35">
      <c r="A1045" s="2" t="s">
        <v>924</v>
      </c>
      <c r="B1045" s="2" t="s">
        <v>370</v>
      </c>
      <c r="C1045" s="3">
        <v>139.1</v>
      </c>
      <c r="D1045" s="1">
        <v>160</v>
      </c>
      <c r="E1045" t="str">
        <f>VLOOKUP(A1045,Sheet2!A:E,5,)</f>
        <v>K F STRONG BEER</v>
      </c>
      <c r="F1045" t="s">
        <v>5</v>
      </c>
      <c r="G1045" s="3">
        <v>139.1</v>
      </c>
      <c r="H1045" s="1">
        <v>160</v>
      </c>
    </row>
    <row r="1046" spans="1:8" x14ac:dyDescent="0.35">
      <c r="A1046" s="2" t="s">
        <v>925</v>
      </c>
      <c r="B1046" s="2" t="s">
        <v>370</v>
      </c>
      <c r="C1046" s="3">
        <v>111.87</v>
      </c>
      <c r="D1046" s="1">
        <v>130</v>
      </c>
      <c r="E1046" t="str">
        <f>VLOOKUP(A1046,Sheet2!A:E,5,)</f>
        <v>K F STRONG MALT BEER</v>
      </c>
      <c r="F1046" t="s">
        <v>5</v>
      </c>
      <c r="G1046" s="3">
        <v>111.87</v>
      </c>
      <c r="H1046" s="1">
        <v>130</v>
      </c>
    </row>
    <row r="1047" spans="1:8" x14ac:dyDescent="0.35">
      <c r="A1047" s="2" t="s">
        <v>361</v>
      </c>
      <c r="B1047" s="1" t="s">
        <v>369</v>
      </c>
      <c r="C1047" s="3">
        <v>146.43</v>
      </c>
      <c r="D1047" s="1">
        <v>170</v>
      </c>
      <c r="E1047" t="str">
        <f>VLOOKUP(A1047,Sheet2!A:E,5,)</f>
        <v>K F STRONG MALT BEER</v>
      </c>
      <c r="F1047" t="s">
        <v>4</v>
      </c>
      <c r="G1047" s="3">
        <v>146.43</v>
      </c>
      <c r="H1047" s="1">
        <v>170</v>
      </c>
    </row>
    <row r="1048" spans="1:8" x14ac:dyDescent="0.35">
      <c r="A1048" s="2" t="s">
        <v>926</v>
      </c>
      <c r="B1048" s="2" t="s">
        <v>373</v>
      </c>
      <c r="C1048" s="3">
        <v>87.59</v>
      </c>
      <c r="D1048" s="1">
        <v>100</v>
      </c>
      <c r="E1048" t="str">
        <f>VLOOKUP(A1048,Sheet2!A:E,5,)</f>
        <v>K F ULTRA LAGER BEER</v>
      </c>
      <c r="F1048" t="s">
        <v>375</v>
      </c>
      <c r="G1048" s="3">
        <v>87.59</v>
      </c>
      <c r="H1048" s="1">
        <v>100</v>
      </c>
    </row>
    <row r="1049" spans="1:8" x14ac:dyDescent="0.35">
      <c r="A1049" s="2" t="s">
        <v>926</v>
      </c>
      <c r="B1049" s="2" t="s">
        <v>370</v>
      </c>
      <c r="C1049" s="3">
        <v>131.24</v>
      </c>
      <c r="D1049" s="1">
        <v>150</v>
      </c>
      <c r="E1049" t="str">
        <f>VLOOKUP(A1049,Sheet2!A:E,5,)</f>
        <v>K F ULTRA LAGER BEER</v>
      </c>
      <c r="F1049" t="s">
        <v>5</v>
      </c>
      <c r="G1049" s="3">
        <v>131.24</v>
      </c>
      <c r="H1049" s="1">
        <v>150</v>
      </c>
    </row>
    <row r="1050" spans="1:8" x14ac:dyDescent="0.35">
      <c r="A1050" s="2" t="s">
        <v>926</v>
      </c>
      <c r="B1050" s="1" t="s">
        <v>369</v>
      </c>
      <c r="C1050" s="3">
        <v>165.55</v>
      </c>
      <c r="D1050" s="1">
        <v>190</v>
      </c>
      <c r="E1050" t="str">
        <f>VLOOKUP(A1050,Sheet2!A:E,5,)</f>
        <v>K F ULTRA LAGER BEER</v>
      </c>
      <c r="F1050" t="s">
        <v>4</v>
      </c>
      <c r="G1050" s="3">
        <v>165.55</v>
      </c>
      <c r="H1050" s="1">
        <v>190</v>
      </c>
    </row>
    <row r="1051" spans="1:8" x14ac:dyDescent="0.35">
      <c r="A1051" s="2" t="s">
        <v>927</v>
      </c>
      <c r="B1051" s="2" t="s">
        <v>373</v>
      </c>
      <c r="C1051" s="3">
        <v>89</v>
      </c>
      <c r="D1051" s="1">
        <v>100</v>
      </c>
      <c r="E1051" t="str">
        <f>VLOOKUP(A1051,Sheet2!A:E,5,)</f>
        <v>K F ULTRA MAX STRONG BEER</v>
      </c>
      <c r="F1051" t="s">
        <v>375</v>
      </c>
      <c r="G1051" s="3">
        <v>89</v>
      </c>
      <c r="H1051" s="1">
        <v>100</v>
      </c>
    </row>
    <row r="1052" spans="1:8" x14ac:dyDescent="0.35">
      <c r="A1052" s="2" t="s">
        <v>928</v>
      </c>
      <c r="B1052" s="2" t="s">
        <v>370</v>
      </c>
      <c r="C1052" s="3">
        <v>131.22</v>
      </c>
      <c r="D1052" s="1">
        <v>150</v>
      </c>
      <c r="E1052" t="str">
        <f>VLOOKUP(A1052,Sheet2!A:E,5,)</f>
        <v>K F ULTRA STRONG BEER</v>
      </c>
      <c r="F1052" t="s">
        <v>5</v>
      </c>
      <c r="G1052" s="3">
        <v>131.22</v>
      </c>
      <c r="H1052" s="1">
        <v>150</v>
      </c>
    </row>
    <row r="1053" spans="1:8" x14ac:dyDescent="0.35">
      <c r="A1053" s="2" t="s">
        <v>928</v>
      </c>
      <c r="B1053" s="1" t="s">
        <v>369</v>
      </c>
      <c r="C1053" s="3">
        <v>165.55</v>
      </c>
      <c r="D1053" s="1">
        <v>190</v>
      </c>
      <c r="E1053" t="str">
        <f>VLOOKUP(A1053,Sheet2!A:E,5,)</f>
        <v>K F ULTRA STRONG BEER</v>
      </c>
      <c r="F1053" t="s">
        <v>4</v>
      </c>
      <c r="G1053" s="3">
        <v>165.55</v>
      </c>
      <c r="H1053" s="1">
        <v>190</v>
      </c>
    </row>
    <row r="1054" spans="1:8" x14ac:dyDescent="0.35">
      <c r="A1054" s="2" t="s">
        <v>362</v>
      </c>
      <c r="B1054" s="2" t="s">
        <v>370</v>
      </c>
      <c r="C1054" s="3">
        <v>108.27</v>
      </c>
      <c r="D1054" s="1">
        <v>130</v>
      </c>
      <c r="E1054" t="str">
        <f>VLOOKUP(A1054,Sheet2!A:E,5,)</f>
        <v>KOLT GOLD STRONG BEER</v>
      </c>
      <c r="F1054" t="s">
        <v>5</v>
      </c>
      <c r="G1054" s="3">
        <v>108.27</v>
      </c>
      <c r="H1054" s="1">
        <v>130</v>
      </c>
    </row>
    <row r="1055" spans="1:8" x14ac:dyDescent="0.35">
      <c r="A1055" s="2" t="s">
        <v>929</v>
      </c>
      <c r="B1055" s="2" t="s">
        <v>370</v>
      </c>
      <c r="C1055" s="3">
        <v>111.32</v>
      </c>
      <c r="D1055" s="1">
        <v>130</v>
      </c>
      <c r="E1055" t="str">
        <f>VLOOKUP(A1055,Sheet2!A:E,5,)</f>
        <v>MEAKIN'S 10,000 STRONG BEER</v>
      </c>
      <c r="F1055" t="s">
        <v>5</v>
      </c>
      <c r="G1055" s="3">
        <v>111.32</v>
      </c>
      <c r="H1055" s="1">
        <v>130</v>
      </c>
    </row>
    <row r="1056" spans="1:8" x14ac:dyDescent="0.35">
      <c r="A1056" s="2" t="s">
        <v>929</v>
      </c>
      <c r="B1056" s="1" t="s">
        <v>369</v>
      </c>
      <c r="C1056" s="3">
        <v>143.74</v>
      </c>
      <c r="D1056" s="1">
        <v>170</v>
      </c>
      <c r="E1056" t="str">
        <f>VLOOKUP(A1056,Sheet2!A:E,5,)</f>
        <v>MEAKIN'S 10,000 STRONG BEER</v>
      </c>
      <c r="F1056" t="s">
        <v>4</v>
      </c>
      <c r="G1056" s="3">
        <v>143.74</v>
      </c>
      <c r="H1056" s="1">
        <v>170</v>
      </c>
    </row>
    <row r="1057" spans="1:8" x14ac:dyDescent="0.35">
      <c r="A1057" s="2" t="s">
        <v>930</v>
      </c>
      <c r="B1057" s="2" t="s">
        <v>370</v>
      </c>
      <c r="C1057" s="3">
        <v>111.39</v>
      </c>
      <c r="D1057" s="1">
        <v>130</v>
      </c>
      <c r="E1057" t="str">
        <f>VLOOKUP(A1057,Sheet2!A:E,5,)</f>
        <v>MEDUSA SUP ST BEER</v>
      </c>
      <c r="F1057" t="s">
        <v>5</v>
      </c>
      <c r="G1057" s="3">
        <v>111.39</v>
      </c>
      <c r="H1057" s="1">
        <v>130</v>
      </c>
    </row>
    <row r="1058" spans="1:8" x14ac:dyDescent="0.35">
      <c r="A1058" s="2" t="s">
        <v>931</v>
      </c>
      <c r="B1058" s="2" t="s">
        <v>370</v>
      </c>
      <c r="C1058" s="3">
        <v>140.30000000000001</v>
      </c>
      <c r="D1058" s="1">
        <v>160</v>
      </c>
      <c r="E1058" t="str">
        <f>VLOOKUP(A1058,Sheet2!A:E,5,)</f>
        <v>MILLER ACE STRONG BEER</v>
      </c>
      <c r="F1058" t="s">
        <v>5</v>
      </c>
      <c r="G1058" s="3">
        <v>140.30000000000001</v>
      </c>
      <c r="H1058" s="1">
        <v>160</v>
      </c>
    </row>
    <row r="1059" spans="1:8" x14ac:dyDescent="0.35">
      <c r="A1059" s="2" t="s">
        <v>932</v>
      </c>
      <c r="B1059" s="2" t="s">
        <v>370</v>
      </c>
      <c r="C1059" s="3">
        <v>111.94</v>
      </c>
      <c r="D1059" s="1">
        <v>130</v>
      </c>
      <c r="E1059" t="str">
        <f>VLOOKUP(A1059,Sheet2!A:E,5,)</f>
        <v>MOUNTS 6000 STRONG BEER</v>
      </c>
      <c r="F1059" t="s">
        <v>5</v>
      </c>
      <c r="G1059" s="3">
        <v>111.94</v>
      </c>
      <c r="H1059" s="1">
        <v>130</v>
      </c>
    </row>
    <row r="1060" spans="1:8" x14ac:dyDescent="0.35">
      <c r="A1060" s="2" t="s">
        <v>363</v>
      </c>
      <c r="B1060" s="2" t="s">
        <v>370</v>
      </c>
      <c r="C1060" s="3">
        <v>121.32</v>
      </c>
      <c r="D1060" s="1">
        <v>140</v>
      </c>
      <c r="E1060" t="str">
        <f>VLOOKUP(A1060,Sheet2!A:E,5,)</f>
        <v>OLD MONK ST BEER</v>
      </c>
      <c r="F1060" t="s">
        <v>5</v>
      </c>
      <c r="G1060" s="3">
        <v>121.32</v>
      </c>
      <c r="H1060" s="1">
        <v>140</v>
      </c>
    </row>
    <row r="1061" spans="1:8" x14ac:dyDescent="0.35">
      <c r="A1061" s="2" t="s">
        <v>933</v>
      </c>
      <c r="B1061" s="2" t="s">
        <v>370</v>
      </c>
      <c r="C1061" s="3">
        <v>111.86</v>
      </c>
      <c r="D1061" s="1">
        <v>130</v>
      </c>
      <c r="E1061" t="str">
        <f>VLOOKUP(A1061,Sheet2!A:E,5,)</f>
        <v>PROOST PREMIUM ST</v>
      </c>
      <c r="F1061" t="s">
        <v>5</v>
      </c>
      <c r="G1061" s="3">
        <v>111.86</v>
      </c>
      <c r="H1061" s="1">
        <v>130</v>
      </c>
    </row>
    <row r="1062" spans="1:8" x14ac:dyDescent="0.35">
      <c r="A1062" s="2" t="s">
        <v>934</v>
      </c>
      <c r="B1062" s="2" t="s">
        <v>370</v>
      </c>
      <c r="C1062" s="3">
        <v>111.8</v>
      </c>
      <c r="D1062" s="1">
        <v>130</v>
      </c>
      <c r="E1062" t="str">
        <f>VLOOKUP(A1062,Sheet2!A:E,5,)</f>
        <v>ROCKBERG STRONG</v>
      </c>
      <c r="F1062" t="s">
        <v>5</v>
      </c>
      <c r="G1062" s="3">
        <v>111.8</v>
      </c>
      <c r="H1062" s="1">
        <v>130</v>
      </c>
    </row>
    <row r="1063" spans="1:8" x14ac:dyDescent="0.35">
      <c r="A1063" s="2" t="s">
        <v>935</v>
      </c>
      <c r="B1063" s="2" t="s">
        <v>370</v>
      </c>
      <c r="C1063" s="3">
        <v>140.72999999999999</v>
      </c>
      <c r="D1063" s="1">
        <v>160</v>
      </c>
      <c r="E1063" t="str">
        <f>VLOOKUP(A1063,Sheet2!A:E,5,)</f>
        <v>SIX FIELD CULT\BRUTE BEER</v>
      </c>
      <c r="F1063" t="s">
        <v>5</v>
      </c>
      <c r="G1063" s="3">
        <v>140.72999999999999</v>
      </c>
      <c r="H1063" s="1">
        <v>160</v>
      </c>
    </row>
    <row r="1064" spans="1:8" x14ac:dyDescent="0.35">
      <c r="A1064" s="2" t="s">
        <v>936</v>
      </c>
      <c r="B1064" s="2" t="s">
        <v>370</v>
      </c>
      <c r="C1064" s="3">
        <v>131.28</v>
      </c>
      <c r="D1064" s="1">
        <v>150</v>
      </c>
      <c r="E1064" t="str">
        <f>VLOOKUP(A1064,Sheet2!A:E,5,)</f>
        <v>STOCK STRONG BEER</v>
      </c>
      <c r="F1064" t="s">
        <v>5</v>
      </c>
      <c r="G1064" s="3">
        <v>131.28</v>
      </c>
      <c r="H1064" s="1">
        <v>150</v>
      </c>
    </row>
    <row r="1065" spans="1:8" x14ac:dyDescent="0.35">
      <c r="A1065" s="2" t="s">
        <v>937</v>
      </c>
      <c r="B1065" s="2" t="s">
        <v>373</v>
      </c>
      <c r="C1065" s="3">
        <v>157.9</v>
      </c>
      <c r="D1065" s="1">
        <v>180</v>
      </c>
      <c r="E1065" t="str">
        <f>VLOOKUP(A1065,Sheet2!A:E,5,)</f>
        <v>SUPER MAKA DI</v>
      </c>
      <c r="F1065" t="s">
        <v>375</v>
      </c>
      <c r="G1065" s="3">
        <v>157.9</v>
      </c>
      <c r="H1065" s="1">
        <v>180</v>
      </c>
    </row>
    <row r="1066" spans="1:8" x14ac:dyDescent="0.35">
      <c r="A1066" s="2" t="s">
        <v>938</v>
      </c>
      <c r="B1066" s="2" t="s">
        <v>370</v>
      </c>
      <c r="C1066" s="3">
        <v>111.87</v>
      </c>
      <c r="D1066" s="1">
        <v>130</v>
      </c>
      <c r="E1066" t="str">
        <f>VLOOKUP(A1066,Sheet2!A:E,5,)</f>
        <v>THUNDER BOLT STRONG BEER</v>
      </c>
      <c r="F1066" t="s">
        <v>5</v>
      </c>
      <c r="G1066" s="3">
        <v>111.87</v>
      </c>
      <c r="H1066" s="1">
        <v>130</v>
      </c>
    </row>
    <row r="1067" spans="1:8" x14ac:dyDescent="0.35">
      <c r="A1067" s="2" t="s">
        <v>939</v>
      </c>
      <c r="B1067" s="2" t="s">
        <v>370</v>
      </c>
      <c r="C1067" s="3">
        <v>121.48</v>
      </c>
      <c r="D1067" s="1">
        <v>140</v>
      </c>
      <c r="E1067" t="str">
        <f>VLOOKUP(A1067,Sheet2!A:E,5,)</f>
        <v>TUBORG 1880 GOLD STRONG BEER</v>
      </c>
      <c r="F1067" t="s">
        <v>5</v>
      </c>
      <c r="G1067" s="3">
        <v>121.48</v>
      </c>
      <c r="H1067" s="1">
        <v>140</v>
      </c>
    </row>
    <row r="1068" spans="1:8" x14ac:dyDescent="0.35">
      <c r="A1068" s="2" t="s">
        <v>939</v>
      </c>
      <c r="B1068" s="1" t="s">
        <v>369</v>
      </c>
      <c r="C1068" s="3">
        <v>165.83</v>
      </c>
      <c r="D1068" s="1">
        <v>190</v>
      </c>
      <c r="E1068" t="str">
        <f>VLOOKUP(A1068,Sheet2!A:E,5,)</f>
        <v>TUBORG 1880 GOLD STRONG BEER</v>
      </c>
      <c r="F1068" t="s">
        <v>4</v>
      </c>
      <c r="G1068" s="3">
        <v>165.83</v>
      </c>
      <c r="H1068" s="1">
        <v>190</v>
      </c>
    </row>
    <row r="1069" spans="1:8" x14ac:dyDescent="0.35">
      <c r="A1069" s="2" t="s">
        <v>940</v>
      </c>
      <c r="B1069" s="2" t="s">
        <v>370</v>
      </c>
      <c r="C1069" s="3">
        <v>140.71</v>
      </c>
      <c r="D1069" s="1">
        <v>160</v>
      </c>
      <c r="E1069" t="str">
        <f>VLOOKUP(A1069,Sheet2!A:E,5,)</f>
        <v>TUBORG CLASSIC MALT/ STRONG BEER</v>
      </c>
      <c r="F1069" t="s">
        <v>5</v>
      </c>
      <c r="G1069" s="3">
        <v>140.71</v>
      </c>
      <c r="H1069" s="1">
        <v>160</v>
      </c>
    </row>
    <row r="1070" spans="1:8" x14ac:dyDescent="0.35">
      <c r="A1070" s="2" t="s">
        <v>940</v>
      </c>
      <c r="B1070" s="1" t="s">
        <v>369</v>
      </c>
      <c r="C1070" s="3">
        <v>184.95</v>
      </c>
      <c r="D1070" s="1">
        <v>210</v>
      </c>
      <c r="E1070" t="str">
        <f>VLOOKUP(A1070,Sheet2!A:E,5,)</f>
        <v>TUBORG CLASSIC MALT/ STRONG BEER</v>
      </c>
      <c r="F1070" t="s">
        <v>4</v>
      </c>
      <c r="G1070" s="3">
        <v>184.95</v>
      </c>
      <c r="H1070" s="1">
        <v>210</v>
      </c>
    </row>
    <row r="1071" spans="1:8" x14ac:dyDescent="0.35">
      <c r="A1071" s="2" t="s">
        <v>941</v>
      </c>
      <c r="B1071" s="2" t="s">
        <v>370</v>
      </c>
      <c r="C1071" s="3">
        <v>111.86</v>
      </c>
      <c r="D1071" s="1">
        <v>130</v>
      </c>
      <c r="E1071" t="str">
        <f>VLOOKUP(A1071,Sheet2!A:E,5,)</f>
        <v>TUBORG STRONG MALT BEER</v>
      </c>
      <c r="F1071" t="s">
        <v>5</v>
      </c>
      <c r="G1071" s="3">
        <v>111.86</v>
      </c>
      <c r="H1071" s="1">
        <v>130</v>
      </c>
    </row>
    <row r="1072" spans="1:8" x14ac:dyDescent="0.35">
      <c r="A1072" s="2" t="s">
        <v>941</v>
      </c>
      <c r="B1072" s="1" t="s">
        <v>369</v>
      </c>
      <c r="C1072" s="3">
        <v>146.43</v>
      </c>
      <c r="D1072" s="1">
        <v>170</v>
      </c>
      <c r="E1072" t="str">
        <f>VLOOKUP(A1072,Sheet2!A:E,5,)</f>
        <v>TUBORG STRONG MALT BEER</v>
      </c>
      <c r="F1072" t="s">
        <v>4</v>
      </c>
      <c r="G1072" s="3">
        <v>146.43</v>
      </c>
      <c r="H1072" s="1">
        <v>170</v>
      </c>
    </row>
    <row r="1073" spans="1:8" x14ac:dyDescent="0.35">
      <c r="A1073" s="2" t="s">
        <v>942</v>
      </c>
      <c r="B1073" s="2" t="s">
        <v>373</v>
      </c>
      <c r="C1073" s="3">
        <v>87.59</v>
      </c>
      <c r="D1073" s="1">
        <v>100</v>
      </c>
      <c r="E1073" t="str">
        <f>VLOOKUP(A1073,Sheet2!A:E,5,)</f>
        <v>TUBORG WHITE DANISH</v>
      </c>
      <c r="F1073" t="s">
        <v>375</v>
      </c>
      <c r="G1073" s="3">
        <v>87.59</v>
      </c>
      <c r="H1073" s="1">
        <v>100</v>
      </c>
    </row>
    <row r="1074" spans="1:8" x14ac:dyDescent="0.35">
      <c r="A1074" s="2" t="s">
        <v>943</v>
      </c>
      <c r="B1074" s="2" t="s">
        <v>373</v>
      </c>
      <c r="C1074" s="3">
        <v>40</v>
      </c>
      <c r="D1074" s="1">
        <v>50</v>
      </c>
      <c r="E1074" t="str">
        <f>VLOOKUP(A1074,Sheet2!A:E,5,)</f>
        <v>WILD DRUM PEACH</v>
      </c>
      <c r="F1074" t="s">
        <v>375</v>
      </c>
      <c r="G1074" s="3">
        <v>40</v>
      </c>
      <c r="H1074" s="1">
        <v>50</v>
      </c>
    </row>
    <row r="1075" spans="1:8" x14ac:dyDescent="0.35">
      <c r="A1075" s="2" t="s">
        <v>944</v>
      </c>
      <c r="B1075" s="2" t="s">
        <v>370</v>
      </c>
      <c r="C1075" s="3">
        <v>219.04</v>
      </c>
      <c r="D1075" s="1">
        <v>250</v>
      </c>
      <c r="E1075" t="str">
        <f>VLOOKUP(A1075,Sheet2!A:E,5,)</f>
        <v>WILD DRUM PURE STRONG/PEACH/LEMON/BERRY</v>
      </c>
      <c r="F1075" t="s">
        <v>5</v>
      </c>
      <c r="G1075" s="3">
        <v>219.04</v>
      </c>
      <c r="H1075" s="1">
        <v>250</v>
      </c>
    </row>
    <row r="1076" spans="1:8" x14ac:dyDescent="0.35">
      <c r="A1076" s="2" t="s">
        <v>945</v>
      </c>
      <c r="B1076" s="2" t="s">
        <v>373</v>
      </c>
      <c r="C1076" s="3">
        <v>161.09</v>
      </c>
      <c r="D1076" s="1">
        <v>190</v>
      </c>
      <c r="E1076" t="str">
        <f>VLOOKUP(A1076,Sheet2!A:E,5,)</f>
        <v>WONDER WINE</v>
      </c>
      <c r="F1076" t="s">
        <v>375</v>
      </c>
      <c r="G1076" s="3">
        <v>161.09</v>
      </c>
      <c r="H1076" s="1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LicenseTotal</dc:creator>
  <cp:lastModifiedBy>LicenseTotal</cp:lastModifiedBy>
  <dcterms:created xsi:type="dcterms:W3CDTF">2026-01-28T14:04:41Z</dcterms:created>
  <dcterms:modified xsi:type="dcterms:W3CDTF">2026-01-30T06:36:45Z</dcterms:modified>
</cp:coreProperties>
</file>